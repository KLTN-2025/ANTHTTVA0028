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-108" yWindow="-108" windowWidth="23256" windowHeight="12456" activeTab="2"/>
  </bookViews>
  <sheets>
    <sheet name="Sprint 1" sheetId="1" r:id="rId1"/>
    <sheet name="Sprint 2" sheetId="2" r:id="rId2"/>
    <sheet name="Total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G4" i="4" s="1"/>
  <c r="E10" i="1"/>
  <c r="I4" i="4" s="1"/>
  <c r="E9" i="1"/>
  <c r="E8" i="1"/>
  <c r="AR83" i="2"/>
  <c r="AO83" i="2"/>
  <c r="K83" i="2"/>
  <c r="E11" i="2"/>
  <c r="D11" i="2"/>
  <c r="E10" i="2"/>
  <c r="D10" i="2"/>
  <c r="E8" i="2"/>
  <c r="D9" i="2"/>
  <c r="D8" i="2"/>
  <c r="E9" i="2"/>
  <c r="E12" i="1" l="1"/>
  <c r="AE96" i="1"/>
  <c r="G96" i="1"/>
  <c r="R95" i="1"/>
  <c r="R96" i="1"/>
  <c r="Q95" i="1"/>
  <c r="Q96" i="1"/>
  <c r="P95" i="1"/>
  <c r="P96" i="1"/>
  <c r="O95" i="1"/>
  <c r="O96" i="1"/>
  <c r="M96" i="1"/>
  <c r="L96" i="1"/>
  <c r="K96" i="1"/>
  <c r="L95" i="1"/>
  <c r="AH95" i="1" l="1"/>
  <c r="N83" i="2"/>
  <c r="R83" i="2"/>
  <c r="S83" i="2"/>
  <c r="T83" i="2"/>
  <c r="V83" i="2"/>
  <c r="AG83" i="2"/>
  <c r="AD83" i="2"/>
  <c r="L83" i="2" l="1"/>
  <c r="M83" i="2"/>
  <c r="O83" i="2"/>
  <c r="P83" i="2"/>
  <c r="Q83" i="2"/>
  <c r="U83" i="2"/>
  <c r="W83" i="2"/>
  <c r="X83" i="2"/>
  <c r="Y83" i="2"/>
  <c r="Z83" i="2"/>
  <c r="AA83" i="2"/>
  <c r="AB83" i="2"/>
  <c r="AC83" i="2"/>
  <c r="AE83" i="2"/>
  <c r="AF83" i="2"/>
  <c r="AH83" i="2"/>
  <c r="AI83" i="2"/>
  <c r="AJ83" i="2"/>
  <c r="AK83" i="2"/>
  <c r="AL83" i="2"/>
  <c r="AM83" i="2"/>
  <c r="AN83" i="2"/>
  <c r="AP83" i="2"/>
  <c r="AQ83" i="2"/>
  <c r="AS83" i="2"/>
  <c r="AT83" i="2"/>
  <c r="AU83" i="2"/>
  <c r="AV83" i="2"/>
  <c r="AW83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G5" i="4"/>
  <c r="F5" i="4"/>
  <c r="I5" i="4"/>
  <c r="H5" i="4"/>
  <c r="AG95" i="1" l="1"/>
  <c r="AI95" i="1"/>
  <c r="AJ95" i="1"/>
  <c r="AK95" i="1"/>
  <c r="AL95" i="1"/>
  <c r="AM95" i="1"/>
  <c r="AN95" i="1"/>
  <c r="AO95" i="1"/>
  <c r="AP95" i="1"/>
  <c r="AQ95" i="1"/>
  <c r="AR95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F95" i="1"/>
  <c r="AE95" i="1"/>
  <c r="AD95" i="1"/>
  <c r="AC95" i="1"/>
  <c r="AB95" i="1"/>
  <c r="Z96" i="1"/>
  <c r="Y96" i="1"/>
  <c r="X95" i="1"/>
  <c r="W95" i="1"/>
  <c r="V95" i="1"/>
  <c r="T95" i="1"/>
  <c r="T96" i="1"/>
  <c r="S96" i="1"/>
  <c r="M95" i="1"/>
  <c r="K95" i="1"/>
  <c r="I96" i="1"/>
  <c r="J96" i="1" l="1"/>
  <c r="AF96" i="1" l="1"/>
  <c r="AD96" i="1"/>
  <c r="AB96" i="1" l="1"/>
  <c r="N95" i="1" l="1"/>
  <c r="J95" i="1"/>
  <c r="I95" i="1"/>
  <c r="G29" i="1"/>
  <c r="G15" i="1"/>
  <c r="D11" i="1" l="1"/>
  <c r="D10" i="1"/>
  <c r="H4" i="4" s="1"/>
  <c r="D9" i="1"/>
  <c r="D8" i="1"/>
  <c r="G17" i="1"/>
  <c r="F4" i="4" l="1"/>
  <c r="G95" i="1"/>
  <c r="D12" i="1"/>
  <c r="B4" i="4"/>
  <c r="C4" i="4"/>
  <c r="N96" i="1" l="1"/>
  <c r="Z95" i="1"/>
  <c r="U96" i="1"/>
  <c r="V96" i="1"/>
  <c r="W96" i="1"/>
  <c r="X96" i="1"/>
  <c r="AA96" i="1"/>
  <c r="AC96" i="1"/>
  <c r="S95" i="1"/>
  <c r="U95" i="1"/>
  <c r="Y95" i="1"/>
  <c r="AA95" i="1"/>
  <c r="J83" i="2"/>
  <c r="I84" i="2"/>
  <c r="I83" i="2"/>
  <c r="G84" i="2"/>
  <c r="G83" i="2"/>
  <c r="D5" i="4" l="1"/>
  <c r="B5" i="4"/>
  <c r="E5" i="4"/>
  <c r="E4" i="4"/>
  <c r="C5" i="4"/>
  <c r="D4" i="4"/>
  <c r="D6" i="4" l="1"/>
  <c r="I6" i="4"/>
  <c r="B6" i="4"/>
  <c r="F10" i="4" s="1"/>
  <c r="C6" i="4"/>
  <c r="F11" i="4" s="1"/>
  <c r="H6" i="4"/>
  <c r="E6" i="4"/>
  <c r="G6" i="4"/>
  <c r="F6" i="4"/>
  <c r="E12" i="2"/>
  <c r="D12" i="2"/>
</calcChain>
</file>

<file path=xl/sharedStrings.xml><?xml version="1.0" encoding="utf-8"?>
<sst xmlns="http://schemas.openxmlformats.org/spreadsheetml/2006/main" count="339" uniqueCount="175">
  <si>
    <t>End date:</t>
  </si>
  <si>
    <t>Start date:</t>
  </si>
  <si>
    <t>Module name:</t>
  </si>
  <si>
    <t>Project name:</t>
  </si>
  <si>
    <t>Sprint 1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</si>
  <si>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</si>
  <si>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</si>
  <si>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</si>
  <si>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</si>
  <si>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</si>
  <si>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</si>
  <si>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</si>
  <si>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</si>
  <si>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</si>
  <si>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</si>
  <si>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</si>
  <si>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Giao diện đổi mật khẩu</t>
  </si>
  <si>
    <t>User interface design</t>
  </si>
  <si>
    <t>Thiết kế trường kiểm thử cho đăng nhập</t>
  </si>
  <si>
    <t>Thiết kế trường kiểm thử cho đổi mật khẩu</t>
  </si>
  <si>
    <t>Review all test case of sprint 1</t>
  </si>
  <si>
    <t>Review all user interfaces of sprint 1</t>
  </si>
  <si>
    <t>Design test case</t>
  </si>
  <si>
    <t xml:space="preserve">Integrate code </t>
  </si>
  <si>
    <t>Coding</t>
  </si>
  <si>
    <t>Kiểm tra đăng nhập</t>
  </si>
  <si>
    <t>Kiểm tra đổi mật khẩu</t>
  </si>
  <si>
    <t>Testing</t>
  </si>
  <si>
    <t>Sửa lỗi đăng nhập</t>
  </si>
  <si>
    <t>Fix Bug</t>
  </si>
  <si>
    <t>Sprint 1 review meeting</t>
  </si>
  <si>
    <t>Sprint 1 retrospective</t>
  </si>
  <si>
    <t>Release Sprint 1</t>
  </si>
  <si>
    <t>Sprint 2</t>
  </si>
  <si>
    <t>SPRINT 2 REPORT</t>
  </si>
  <si>
    <t>Release Sprint 2</t>
  </si>
  <si>
    <t>Re-testing</t>
  </si>
  <si>
    <t>Kiểm tra lại đăng nhập</t>
  </si>
  <si>
    <t>Sprint 2 review meeting</t>
  </si>
  <si>
    <t>Sprint 2 retrospective</t>
  </si>
  <si>
    <t>Tạo Sprint Backlog 2</t>
  </si>
  <si>
    <t>Review all user interfaces of sprint 2</t>
  </si>
  <si>
    <t>Review all test case of sprint 2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</si>
  <si>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</si>
  <si>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</si>
  <si>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</si>
  <si>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</si>
  <si>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</si>
  <si>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</si>
  <si>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</si>
  <si>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</si>
  <si>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</si>
  <si>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</si>
  <si>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</si>
  <si>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Giao diện đăng xuất</t>
  </si>
  <si>
    <t>Thiết kế trường kiểm thử cho đăng xuất</t>
  </si>
  <si>
    <t>Hoàng</t>
  </si>
  <si>
    <t>Kiểm tra đăng xuất</t>
  </si>
  <si>
    <t>Sửa lỗi đăng xuất</t>
  </si>
  <si>
    <t>Kiểm tra lại đăng xuất</t>
  </si>
  <si>
    <t>Trình, Hoàng</t>
  </si>
  <si>
    <t>Vinh</t>
  </si>
  <si>
    <t>Giao diện đăng ký</t>
  </si>
  <si>
    <t>Giao diện quản lý hồ sơ cá nhân</t>
  </si>
  <si>
    <t>Giao diện phân quyền người dùng</t>
  </si>
  <si>
    <t>Trình</t>
  </si>
  <si>
    <t>Giao diện quản lý lớp học trực tuyến</t>
  </si>
  <si>
    <t>Viên</t>
  </si>
  <si>
    <t>Giao diện quản lý tài liệu học tập</t>
  </si>
  <si>
    <t>Giao diện quản lý sinh viên</t>
  </si>
  <si>
    <t>Giao diện quản lý bài tập và kết quả</t>
  </si>
  <si>
    <t>Thiết kế trường kiểm thử cho đăng ký</t>
  </si>
  <si>
    <t>Thiết kế trường kiểm thử cho quản lý hồ sơ cá nhân</t>
  </si>
  <si>
    <t>Thiết kế trường kiểm thử cho quản lý điểm danh</t>
  </si>
  <si>
    <t>Thiết kế trường kiểm thử cho quản lý lớp học trực tuyến</t>
  </si>
  <si>
    <t>Thiết kế trường kiểm thử cho quản lý tài liệu học tập</t>
  </si>
  <si>
    <t xml:space="preserve">Thiết kế trường kiểm thử cho quản lý sinh viên </t>
  </si>
  <si>
    <t>Thiết kế trường kiểm thử cho quản lý bài tập và kết quả</t>
  </si>
  <si>
    <t>Code Front – End Đăng nhập và đăng kí</t>
  </si>
  <si>
    <t>Code Front – End Quản lý hồ sơ cá nhân</t>
  </si>
  <si>
    <t>Code Front – End Quản lí điểm danh</t>
  </si>
  <si>
    <t>Code Front – End Quản lý lớp học trực tuyến</t>
  </si>
  <si>
    <t>Code Front – End Quản lý tài liệu học tập</t>
  </si>
  <si>
    <t>Code Front – End Quản lý sinh viên</t>
  </si>
  <si>
    <t>Code Front – End Quản lý môn học</t>
  </si>
  <si>
    <t>Code Back – End Đăng nhập và đăng ký</t>
  </si>
  <si>
    <t>Code Back – End Quản lý hồ sơ cá nhân</t>
  </si>
  <si>
    <t>Code Back – End Quản lí điểm danh</t>
  </si>
  <si>
    <t>Code Back – End Quản lý lớp học trực tuyến</t>
  </si>
  <si>
    <t>Code Back – End Quản lý tài liệu học tập</t>
  </si>
  <si>
    <t>Code Back – End Đổi mật khẩu</t>
  </si>
  <si>
    <t>Code Back – End Quản lý sinh viên</t>
  </si>
  <si>
    <t>Code Back – End Quản lý bài tập và kết quả</t>
  </si>
  <si>
    <t>Code Front – End Đăng xuất</t>
  </si>
  <si>
    <t>Code Back – End Đăng xuất</t>
  </si>
  <si>
    <t>All Team</t>
  </si>
  <si>
    <t>Kiểm tra đăng ký</t>
  </si>
  <si>
    <t>Kiểm tra quản lý hồ sơ cá nhân</t>
  </si>
  <si>
    <t>Kiểm tra quản lý điểm danh</t>
  </si>
  <si>
    <t>Kiểm tra quản lý lớp học trực tuyến</t>
  </si>
  <si>
    <t>Kiểm tra quản lý tài liệu học tập</t>
  </si>
  <si>
    <t>Kiểm tra quản lý sinh viên</t>
  </si>
  <si>
    <t>Kiểm tra quản lý bài tập và kết quả</t>
  </si>
  <si>
    <t>Vinh, Trình</t>
  </si>
  <si>
    <t>Sửa lỗi đăng ký</t>
  </si>
  <si>
    <t>Sửa lỗi quản lý hồ sơ cá nhân</t>
  </si>
  <si>
    <t>Sửa lỗi quản lý điểm danh</t>
  </si>
  <si>
    <t>Sửa lỗi quản lý lớp học trực tuyến</t>
  </si>
  <si>
    <t>Sửa lỗi quản lý tài liệu học tập</t>
  </si>
  <si>
    <t>Sửa lỗi quản lý sinh viên</t>
  </si>
  <si>
    <t>Sửa lỗi quản lý bài tập và kết quả</t>
  </si>
  <si>
    <t>Kiểm tra lại đăng ký</t>
  </si>
  <si>
    <t>Kiểm tra lại Quản lý hồ sơ cá nhân</t>
  </si>
  <si>
    <t>Kiểm tra lại Quản lý lớp học trực tuyến</t>
  </si>
  <si>
    <t>Kiểm tra lại Quản lý điểm danh</t>
  </si>
  <si>
    <t>Kiểm tra lại Quản lý tài liệu học tập</t>
  </si>
  <si>
    <t>Kiểm tra lại Quản lý sinh viên</t>
  </si>
  <si>
    <t>Kiểm tra lại Quản lý bài tập và kết quả</t>
  </si>
  <si>
    <t>Hoàng, Viên</t>
  </si>
  <si>
    <t>Họp kế hoạch Sprint 2</t>
  </si>
  <si>
    <t>Tạo tài liệu kiểm thử cho Sprint 2</t>
  </si>
  <si>
    <t>Xem lớp học</t>
  </si>
  <si>
    <t>Quản lí sự kiện</t>
  </si>
  <si>
    <t>Quản lý khóa học</t>
  </si>
  <si>
    <t>Quản lý giảng viên</t>
  </si>
  <si>
    <t>Quản lý báo cáo và thống kê</t>
  </si>
  <si>
    <t>Quản lí điểm</t>
  </si>
  <si>
    <t>Quản lý phân quyền</t>
  </si>
  <si>
    <t>Thiết kế trường kiểm thử cho xem lớp học</t>
  </si>
  <si>
    <t>Thiết kế trường kiểm thử cho Quản lí sự kiện</t>
  </si>
  <si>
    <t>Thiết kế trường kiểm thử cho Quản lý khóa học</t>
  </si>
  <si>
    <t>Thiết kế trường kiểm thử cho Quản lý giảng viên</t>
  </si>
  <si>
    <t>Thiết kế trường kiểm thử cho Quản lý phân quyền</t>
  </si>
  <si>
    <t>Thiết kế trường kiểm thử cho Quản lý báo cáo và thống kê</t>
  </si>
  <si>
    <t>Thiết kế trường kiểm thử cho Quản lí điểm</t>
  </si>
  <si>
    <t>All teams</t>
  </si>
  <si>
    <t xml:space="preserve">Code Front – End Thống kê
</t>
  </si>
  <si>
    <t>Code back-end Thống kê</t>
  </si>
  <si>
    <t>Thiết kế front-end Xem lớp học</t>
  </si>
  <si>
    <t>Code back-end Xem lớp học</t>
  </si>
  <si>
    <t>Thiết kế front-end Quản lí sự kiện</t>
  </si>
  <si>
    <t>Thiết kế front-end Quản lý giảng viên</t>
  </si>
  <si>
    <t>Code back-end Quản lý giảng viên</t>
  </si>
  <si>
    <t>Thiết kế front-end Quản lý khóa học</t>
  </si>
  <si>
    <t>Code back-end Quản lý khóa học</t>
  </si>
  <si>
    <t>Thiết kế front-end Quản lí điểm</t>
  </si>
  <si>
    <t>Code back-end Quản lí điểm</t>
  </si>
  <si>
    <t>Thiết kế front-end Quản lý phân quyền</t>
  </si>
  <si>
    <t>Code back-end Quản lý phân quyền</t>
  </si>
  <si>
    <t>Code back-end Quản lí sự kiện</t>
  </si>
  <si>
    <t>Vinh, Hoàng</t>
  </si>
  <si>
    <t>Kiểm tra Quản lí sự kiện</t>
  </si>
  <si>
    <t>Kiểm tra Quản lý khóa học</t>
  </si>
  <si>
    <t>Kiểm tra Quản lý giảng viên</t>
  </si>
  <si>
    <t>Kiểm tra Quản lý báo cáo và thống kê</t>
  </si>
  <si>
    <t>Kiểm tra Quản lí điểm</t>
  </si>
  <si>
    <t>Kiểm tra Quản lý phân quyền</t>
  </si>
  <si>
    <t>Kiểm tra Xem lớp học</t>
  </si>
  <si>
    <t>Sửa lỗi Xem lớp học</t>
  </si>
  <si>
    <t>Sửa lỗi Quản lí sự kiện</t>
  </si>
  <si>
    <t>Sửa lỗi Quản lý khóa học</t>
  </si>
  <si>
    <t>Sửa lỗi Quản lý giảng viên</t>
  </si>
  <si>
    <t>Sửa lỗi Quản lý báo cáo và thống kê</t>
  </si>
  <si>
    <t>Sửa lỗi Quản lí điểm</t>
  </si>
  <si>
    <t>Sửa lỗi Quản lý phân quyền</t>
  </si>
  <si>
    <t>Nguyễn Văn Viên</t>
  </si>
  <si>
    <t xml:space="preserve">AgoraLearn+ 
Nền tảng học trực tuyến với AI Attendance, phân tích tương tác học tập và gợi ý cải thiện
</t>
  </si>
  <si>
    <t>Lê Tuấn Trình</t>
  </si>
  <si>
    <t>Dương Quang Vinh</t>
  </si>
  <si>
    <t>Trần Dương Huy Hoàng</t>
  </si>
  <si>
    <t>AgoraLearn+ 
Nền tảng học trực tuyến với AI Attendance, phân tích tương tác học tập và gợi ý cải thiện</t>
  </si>
  <si>
    <t>27/09/2025</t>
  </si>
  <si>
    <t>Vinh, Viên</t>
  </si>
  <si>
    <t>Viên, Vinh</t>
  </si>
  <si>
    <t>Trình, Vinh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</si>
</sst>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[$-14809]d/m/yyyy;@"/>
  </numFmts>
  <fonts count="5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theme="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1" fillId="2" borderId="4" xfId="0" applyFont="1" applyFill="1" applyBorder="1"/>
    <xf numFmtId="0" fontId="3" fillId="0" borderId="5" xfId="0" applyFont="1" applyBorder="1" applyAlignment="1">
      <alignment horizontal="left" vertical="center"/>
    </xf>
    <xf numFmtId="0" fontId="1" fillId="9" borderId="6" xfId="0" applyFont="1" applyFill="1" applyBorder="1"/>
    <xf numFmtId="0" fontId="3" fillId="0" borderId="7" xfId="0" applyFont="1" applyBorder="1" applyAlignment="1">
      <alignment horizontal="left" vertical="center" wrapText="1"/>
    </xf>
    <xf numFmtId="0" fontId="1" fillId="3" borderId="6" xfId="0" applyFont="1" applyFill="1" applyBorder="1"/>
    <xf numFmtId="0" fontId="1" fillId="8" borderId="6" xfId="0" applyFont="1" applyFill="1" applyBorder="1"/>
    <xf numFmtId="0" fontId="1" fillId="4" borderId="8" xfId="0" applyFont="1" applyFill="1" applyBorder="1"/>
    <xf numFmtId="0" fontId="3" fillId="0" borderId="10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11" borderId="8" xfId="0" applyFont="1" applyFill="1" applyBorder="1" applyAlignment="1">
      <alignment horizontal="left" vertical="center"/>
    </xf>
    <xf numFmtId="0" fontId="1" fillId="11" borderId="6" xfId="0" applyFont="1" applyFill="1" applyBorder="1"/>
    <xf numFmtId="0" fontId="1" fillId="0" borderId="7" xfId="0" applyFont="1" applyBorder="1"/>
    <xf numFmtId="0" fontId="1" fillId="11" borderId="8" xfId="0" applyFont="1" applyFill="1" applyBorder="1"/>
    <xf numFmtId="0" fontId="1" fillId="0" borderId="10" xfId="0" applyFont="1" applyBorder="1"/>
    <xf numFmtId="0" fontId="2" fillId="0" borderId="2" xfId="0" applyFont="1" applyBorder="1" applyAlignment="1">
      <alignment wrapText="1"/>
    </xf>
    <xf numFmtId="0" fontId="1" fillId="13" borderId="1" xfId="0" applyFont="1" applyFill="1" applyBorder="1"/>
    <xf numFmtId="0" fontId="3" fillId="3" borderId="1" xfId="0" applyFont="1" applyFill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" xfId="0" applyFont="1" applyFill="1" applyBorder="1"/>
    <xf numFmtId="165" fontId="3" fillId="0" borderId="2" xfId="0" applyNumberFormat="1" applyFon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4" fillId="0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/>
    <xf numFmtId="0" fontId="2" fillId="0" borderId="2" xfId="0" applyFont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1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2" fillId="12" borderId="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'Sprint 1'!$I$14:$AR$14</c:f>
              <c:numCache>
                <c:formatCode>dd/mm</c:formatCode>
                <c:ptCount val="36"/>
                <c:pt idx="0">
                  <c:v>45927</c:v>
                </c:pt>
                <c:pt idx="1">
                  <c:v>45928</c:v>
                </c:pt>
                <c:pt idx="2">
                  <c:v>45929</c:v>
                </c:pt>
                <c:pt idx="3">
                  <c:v>45930</c:v>
                </c:pt>
                <c:pt idx="4">
                  <c:v>45931</c:v>
                </c:pt>
                <c:pt idx="5">
                  <c:v>45932</c:v>
                </c:pt>
                <c:pt idx="6">
                  <c:v>45933</c:v>
                </c:pt>
                <c:pt idx="7">
                  <c:v>45934</c:v>
                </c:pt>
                <c:pt idx="8">
                  <c:v>45935</c:v>
                </c:pt>
                <c:pt idx="9">
                  <c:v>45936</c:v>
                </c:pt>
                <c:pt idx="10">
                  <c:v>45937</c:v>
                </c:pt>
                <c:pt idx="11">
                  <c:v>45938</c:v>
                </c:pt>
                <c:pt idx="12">
                  <c:v>45939</c:v>
                </c:pt>
                <c:pt idx="13">
                  <c:v>45940</c:v>
                </c:pt>
                <c:pt idx="14">
                  <c:v>45941</c:v>
                </c:pt>
                <c:pt idx="15">
                  <c:v>45942</c:v>
                </c:pt>
                <c:pt idx="16">
                  <c:v>45943</c:v>
                </c:pt>
                <c:pt idx="17">
                  <c:v>45944</c:v>
                </c:pt>
                <c:pt idx="18">
                  <c:v>45945</c:v>
                </c:pt>
                <c:pt idx="19">
                  <c:v>45946</c:v>
                </c:pt>
                <c:pt idx="20">
                  <c:v>45947</c:v>
                </c:pt>
                <c:pt idx="21">
                  <c:v>45948</c:v>
                </c:pt>
                <c:pt idx="22">
                  <c:v>45949</c:v>
                </c:pt>
                <c:pt idx="23">
                  <c:v>45950</c:v>
                </c:pt>
                <c:pt idx="24">
                  <c:v>45951</c:v>
                </c:pt>
                <c:pt idx="25">
                  <c:v>45952</c:v>
                </c:pt>
                <c:pt idx="26">
                  <c:v>45953</c:v>
                </c:pt>
                <c:pt idx="27">
                  <c:v>45954</c:v>
                </c:pt>
                <c:pt idx="28">
                  <c:v>45955</c:v>
                </c:pt>
                <c:pt idx="29">
                  <c:v>45956</c:v>
                </c:pt>
                <c:pt idx="30">
                  <c:v>45957</c:v>
                </c:pt>
                <c:pt idx="31">
                  <c:v>45958</c:v>
                </c:pt>
                <c:pt idx="32">
                  <c:v>45959</c:v>
                </c:pt>
                <c:pt idx="33">
                  <c:v>45960</c:v>
                </c:pt>
                <c:pt idx="34">
                  <c:v>45961</c:v>
                </c:pt>
                <c:pt idx="35">
                  <c:v>45962</c:v>
                </c:pt>
              </c:numCache>
            </c:numRef>
          </c:cat>
          <c:val>
            <c:numRef>
              <c:f>'Sprint 1'!$I$95:$AR$95</c:f>
              <c:numCache>
                <c:formatCode>General</c:formatCode>
                <c:ptCount val="36"/>
                <c:pt idx="0">
                  <c:v>178</c:v>
                </c:pt>
                <c:pt idx="1">
                  <c:v>163</c:v>
                </c:pt>
                <c:pt idx="2">
                  <c:v>153</c:v>
                </c:pt>
                <c:pt idx="3">
                  <c:v>145</c:v>
                </c:pt>
                <c:pt idx="4">
                  <c:v>132</c:v>
                </c:pt>
                <c:pt idx="5">
                  <c:v>122</c:v>
                </c:pt>
                <c:pt idx="6">
                  <c:v>121</c:v>
                </c:pt>
                <c:pt idx="7">
                  <c:v>106</c:v>
                </c:pt>
                <c:pt idx="8">
                  <c:v>101</c:v>
                </c:pt>
                <c:pt idx="9">
                  <c:v>93</c:v>
                </c:pt>
                <c:pt idx="10">
                  <c:v>84</c:v>
                </c:pt>
                <c:pt idx="11">
                  <c:v>81</c:v>
                </c:pt>
                <c:pt idx="12">
                  <c:v>81</c:v>
                </c:pt>
                <c:pt idx="13">
                  <c:v>79</c:v>
                </c:pt>
                <c:pt idx="14">
                  <c:v>77</c:v>
                </c:pt>
                <c:pt idx="15">
                  <c:v>72</c:v>
                </c:pt>
                <c:pt idx="16">
                  <c:v>72</c:v>
                </c:pt>
                <c:pt idx="17">
                  <c:v>70</c:v>
                </c:pt>
                <c:pt idx="18">
                  <c:v>65</c:v>
                </c:pt>
                <c:pt idx="19">
                  <c:v>65</c:v>
                </c:pt>
                <c:pt idx="20">
                  <c:v>62</c:v>
                </c:pt>
                <c:pt idx="21">
                  <c:v>59</c:v>
                </c:pt>
                <c:pt idx="22">
                  <c:v>58</c:v>
                </c:pt>
                <c:pt idx="23">
                  <c:v>53</c:v>
                </c:pt>
                <c:pt idx="24">
                  <c:v>50</c:v>
                </c:pt>
                <c:pt idx="25">
                  <c:v>41</c:v>
                </c:pt>
                <c:pt idx="26">
                  <c:v>40</c:v>
                </c:pt>
                <c:pt idx="27">
                  <c:v>33</c:v>
                </c:pt>
                <c:pt idx="28">
                  <c:v>30</c:v>
                </c:pt>
                <c:pt idx="29">
                  <c:v>28</c:v>
                </c:pt>
                <c:pt idx="30">
                  <c:v>23</c:v>
                </c:pt>
                <c:pt idx="31">
                  <c:v>19</c:v>
                </c:pt>
                <c:pt idx="32">
                  <c:v>14</c:v>
                </c:pt>
                <c:pt idx="33">
                  <c:v>10</c:v>
                </c:pt>
                <c:pt idx="34">
                  <c:v>5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marker>
            <c:symbol val="none"/>
          </c:marker>
          <c:cat>
            <c:numRef>
              <c:f>'Sprint 1'!$I$14:$AR$14</c:f>
              <c:numCache>
                <c:formatCode>dd/mm</c:formatCode>
                <c:ptCount val="36"/>
                <c:pt idx="0">
                  <c:v>45927</c:v>
                </c:pt>
                <c:pt idx="1">
                  <c:v>45928</c:v>
                </c:pt>
                <c:pt idx="2">
                  <c:v>45929</c:v>
                </c:pt>
                <c:pt idx="3">
                  <c:v>45930</c:v>
                </c:pt>
                <c:pt idx="4">
                  <c:v>45931</c:v>
                </c:pt>
                <c:pt idx="5">
                  <c:v>45932</c:v>
                </c:pt>
                <c:pt idx="6">
                  <c:v>45933</c:v>
                </c:pt>
                <c:pt idx="7">
                  <c:v>45934</c:v>
                </c:pt>
                <c:pt idx="8">
                  <c:v>45935</c:v>
                </c:pt>
                <c:pt idx="9">
                  <c:v>45936</c:v>
                </c:pt>
                <c:pt idx="10">
                  <c:v>45937</c:v>
                </c:pt>
                <c:pt idx="11">
                  <c:v>45938</c:v>
                </c:pt>
                <c:pt idx="12">
                  <c:v>45939</c:v>
                </c:pt>
                <c:pt idx="13">
                  <c:v>45940</c:v>
                </c:pt>
                <c:pt idx="14">
                  <c:v>45941</c:v>
                </c:pt>
                <c:pt idx="15">
                  <c:v>45942</c:v>
                </c:pt>
                <c:pt idx="16">
                  <c:v>45943</c:v>
                </c:pt>
                <c:pt idx="17">
                  <c:v>45944</c:v>
                </c:pt>
                <c:pt idx="18">
                  <c:v>45945</c:v>
                </c:pt>
                <c:pt idx="19">
                  <c:v>45946</c:v>
                </c:pt>
                <c:pt idx="20">
                  <c:v>45947</c:v>
                </c:pt>
                <c:pt idx="21">
                  <c:v>45948</c:v>
                </c:pt>
                <c:pt idx="22">
                  <c:v>45949</c:v>
                </c:pt>
                <c:pt idx="23">
                  <c:v>45950</c:v>
                </c:pt>
                <c:pt idx="24">
                  <c:v>45951</c:v>
                </c:pt>
                <c:pt idx="25">
                  <c:v>45952</c:v>
                </c:pt>
                <c:pt idx="26">
                  <c:v>45953</c:v>
                </c:pt>
                <c:pt idx="27">
                  <c:v>45954</c:v>
                </c:pt>
                <c:pt idx="28">
                  <c:v>45955</c:v>
                </c:pt>
                <c:pt idx="29">
                  <c:v>45956</c:v>
                </c:pt>
                <c:pt idx="30">
                  <c:v>45957</c:v>
                </c:pt>
                <c:pt idx="31">
                  <c:v>45958</c:v>
                </c:pt>
                <c:pt idx="32">
                  <c:v>45959</c:v>
                </c:pt>
                <c:pt idx="33">
                  <c:v>45960</c:v>
                </c:pt>
                <c:pt idx="34">
                  <c:v>45961</c:v>
                </c:pt>
                <c:pt idx="35">
                  <c:v>45962</c:v>
                </c:pt>
              </c:numCache>
            </c:numRef>
          </c:cat>
          <c:val>
            <c:numRef>
              <c:f>'Sprint 1'!$I$96:$AR$96</c:f>
              <c:numCache>
                <c:formatCode>General</c:formatCode>
                <c:ptCount val="36"/>
                <c:pt idx="0">
                  <c:v>178</c:v>
                </c:pt>
                <c:pt idx="1">
                  <c:v>163</c:v>
                </c:pt>
                <c:pt idx="2">
                  <c:v>151</c:v>
                </c:pt>
                <c:pt idx="3">
                  <c:v>143</c:v>
                </c:pt>
                <c:pt idx="4">
                  <c:v>133</c:v>
                </c:pt>
                <c:pt idx="5">
                  <c:v>122</c:v>
                </c:pt>
                <c:pt idx="6">
                  <c:v>119</c:v>
                </c:pt>
                <c:pt idx="7">
                  <c:v>104</c:v>
                </c:pt>
                <c:pt idx="8">
                  <c:v>100</c:v>
                </c:pt>
                <c:pt idx="9">
                  <c:v>92</c:v>
                </c:pt>
                <c:pt idx="10">
                  <c:v>84</c:v>
                </c:pt>
                <c:pt idx="11">
                  <c:v>81</c:v>
                </c:pt>
                <c:pt idx="12">
                  <c:v>81</c:v>
                </c:pt>
                <c:pt idx="13">
                  <c:v>79</c:v>
                </c:pt>
                <c:pt idx="14">
                  <c:v>77</c:v>
                </c:pt>
                <c:pt idx="15">
                  <c:v>72</c:v>
                </c:pt>
                <c:pt idx="16">
                  <c:v>72</c:v>
                </c:pt>
                <c:pt idx="17">
                  <c:v>70</c:v>
                </c:pt>
                <c:pt idx="18">
                  <c:v>65</c:v>
                </c:pt>
                <c:pt idx="19">
                  <c:v>65</c:v>
                </c:pt>
                <c:pt idx="20">
                  <c:v>62</c:v>
                </c:pt>
                <c:pt idx="21">
                  <c:v>59</c:v>
                </c:pt>
                <c:pt idx="22">
                  <c:v>55</c:v>
                </c:pt>
                <c:pt idx="23">
                  <c:v>53</c:v>
                </c:pt>
                <c:pt idx="24">
                  <c:v>50</c:v>
                </c:pt>
                <c:pt idx="25">
                  <c:v>43</c:v>
                </c:pt>
                <c:pt idx="26">
                  <c:v>40</c:v>
                </c:pt>
                <c:pt idx="27">
                  <c:v>33</c:v>
                </c:pt>
                <c:pt idx="28">
                  <c:v>30</c:v>
                </c:pt>
                <c:pt idx="29">
                  <c:v>28</c:v>
                </c:pt>
                <c:pt idx="30">
                  <c:v>23</c:v>
                </c:pt>
                <c:pt idx="31">
                  <c:v>19</c:v>
                </c:pt>
                <c:pt idx="32">
                  <c:v>14</c:v>
                </c:pt>
                <c:pt idx="33">
                  <c:v>10</c:v>
                </c:pt>
                <c:pt idx="34">
                  <c:v>5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1'!$G$95:$AE$95</c:f>
              <c:numCache>
                <c:formatCode>General</c:formatCode>
                <c:ptCount val="25"/>
                <c:pt idx="0">
                  <c:v>189</c:v>
                </c:pt>
                <c:pt idx="2">
                  <c:v>178</c:v>
                </c:pt>
                <c:pt idx="3">
                  <c:v>163</c:v>
                </c:pt>
                <c:pt idx="4">
                  <c:v>153</c:v>
                </c:pt>
                <c:pt idx="5">
                  <c:v>145</c:v>
                </c:pt>
                <c:pt idx="6">
                  <c:v>132</c:v>
                </c:pt>
                <c:pt idx="7">
                  <c:v>122</c:v>
                </c:pt>
                <c:pt idx="8">
                  <c:v>121</c:v>
                </c:pt>
                <c:pt idx="9">
                  <c:v>106</c:v>
                </c:pt>
                <c:pt idx="10">
                  <c:v>101</c:v>
                </c:pt>
                <c:pt idx="11">
                  <c:v>93</c:v>
                </c:pt>
                <c:pt idx="12">
                  <c:v>84</c:v>
                </c:pt>
                <c:pt idx="13">
                  <c:v>81</c:v>
                </c:pt>
                <c:pt idx="14">
                  <c:v>81</c:v>
                </c:pt>
                <c:pt idx="15">
                  <c:v>79</c:v>
                </c:pt>
                <c:pt idx="16">
                  <c:v>77</c:v>
                </c:pt>
                <c:pt idx="17">
                  <c:v>72</c:v>
                </c:pt>
                <c:pt idx="18">
                  <c:v>72</c:v>
                </c:pt>
                <c:pt idx="19">
                  <c:v>70</c:v>
                </c:pt>
                <c:pt idx="20">
                  <c:v>65</c:v>
                </c:pt>
                <c:pt idx="21">
                  <c:v>65</c:v>
                </c:pt>
                <c:pt idx="22">
                  <c:v>62</c:v>
                </c:pt>
                <c:pt idx="23">
                  <c:v>59</c:v>
                </c:pt>
                <c:pt idx="2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1'!$G$96:$AE$96</c:f>
              <c:numCache>
                <c:formatCode>General</c:formatCode>
                <c:ptCount val="25"/>
                <c:pt idx="0">
                  <c:v>186</c:v>
                </c:pt>
                <c:pt idx="2">
                  <c:v>178</c:v>
                </c:pt>
                <c:pt idx="3">
                  <c:v>163</c:v>
                </c:pt>
                <c:pt idx="4">
                  <c:v>151</c:v>
                </c:pt>
                <c:pt idx="5">
                  <c:v>143</c:v>
                </c:pt>
                <c:pt idx="6">
                  <c:v>133</c:v>
                </c:pt>
                <c:pt idx="7">
                  <c:v>122</c:v>
                </c:pt>
                <c:pt idx="8">
                  <c:v>119</c:v>
                </c:pt>
                <c:pt idx="9">
                  <c:v>104</c:v>
                </c:pt>
                <c:pt idx="10">
                  <c:v>100</c:v>
                </c:pt>
                <c:pt idx="11">
                  <c:v>92</c:v>
                </c:pt>
                <c:pt idx="12">
                  <c:v>84</c:v>
                </c:pt>
                <c:pt idx="13">
                  <c:v>81</c:v>
                </c:pt>
                <c:pt idx="14">
                  <c:v>81</c:v>
                </c:pt>
                <c:pt idx="15">
                  <c:v>79</c:v>
                </c:pt>
                <c:pt idx="16">
                  <c:v>77</c:v>
                </c:pt>
                <c:pt idx="17">
                  <c:v>72</c:v>
                </c:pt>
                <c:pt idx="18">
                  <c:v>72</c:v>
                </c:pt>
                <c:pt idx="19">
                  <c:v>70</c:v>
                </c:pt>
                <c:pt idx="20">
                  <c:v>65</c:v>
                </c:pt>
                <c:pt idx="21">
                  <c:v>65</c:v>
                </c:pt>
                <c:pt idx="22">
                  <c:v>62</c:v>
                </c:pt>
                <c:pt idx="23">
                  <c:v>59</c:v>
                </c:pt>
                <c:pt idx="24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457577504632906E-2"/>
          <c:y val="5.130385786185674E-2"/>
          <c:w val="0.98013043158790081"/>
          <c:h val="0.88481004211140024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2'!$I$14:$AW$14</c:f>
              <c:numCache>
                <c:formatCode>dd/mm</c:formatCode>
                <c:ptCount val="41"/>
                <c:pt idx="0">
                  <c:v>45598</c:v>
                </c:pt>
                <c:pt idx="1">
                  <c:v>45599</c:v>
                </c:pt>
                <c:pt idx="2">
                  <c:v>45600</c:v>
                </c:pt>
                <c:pt idx="3">
                  <c:v>45601</c:v>
                </c:pt>
                <c:pt idx="4">
                  <c:v>45602</c:v>
                </c:pt>
                <c:pt idx="5">
                  <c:v>45603</c:v>
                </c:pt>
                <c:pt idx="6">
                  <c:v>45604</c:v>
                </c:pt>
                <c:pt idx="7">
                  <c:v>45605</c:v>
                </c:pt>
                <c:pt idx="8">
                  <c:v>45606</c:v>
                </c:pt>
                <c:pt idx="9">
                  <c:v>45607</c:v>
                </c:pt>
                <c:pt idx="10">
                  <c:v>45608</c:v>
                </c:pt>
                <c:pt idx="11">
                  <c:v>45609</c:v>
                </c:pt>
                <c:pt idx="12">
                  <c:v>45610</c:v>
                </c:pt>
                <c:pt idx="13">
                  <c:v>45611</c:v>
                </c:pt>
                <c:pt idx="14">
                  <c:v>45612</c:v>
                </c:pt>
                <c:pt idx="15">
                  <c:v>45613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45619</c:v>
                </c:pt>
                <c:pt idx="22">
                  <c:v>45620</c:v>
                </c:pt>
                <c:pt idx="23">
                  <c:v>45621</c:v>
                </c:pt>
                <c:pt idx="24">
                  <c:v>45622</c:v>
                </c:pt>
                <c:pt idx="25">
                  <c:v>45623</c:v>
                </c:pt>
                <c:pt idx="26">
                  <c:v>45624</c:v>
                </c:pt>
                <c:pt idx="27">
                  <c:v>45625</c:v>
                </c:pt>
                <c:pt idx="28">
                  <c:v>45626</c:v>
                </c:pt>
                <c:pt idx="29">
                  <c:v>45627</c:v>
                </c:pt>
                <c:pt idx="30">
                  <c:v>45628</c:v>
                </c:pt>
                <c:pt idx="31">
                  <c:v>45629</c:v>
                </c:pt>
                <c:pt idx="32">
                  <c:v>45630</c:v>
                </c:pt>
                <c:pt idx="33">
                  <c:v>45631</c:v>
                </c:pt>
                <c:pt idx="34">
                  <c:v>45632</c:v>
                </c:pt>
                <c:pt idx="35">
                  <c:v>45633</c:v>
                </c:pt>
                <c:pt idx="36">
                  <c:v>45634</c:v>
                </c:pt>
                <c:pt idx="37">
                  <c:v>45635</c:v>
                </c:pt>
                <c:pt idx="38">
                  <c:v>45636</c:v>
                </c:pt>
                <c:pt idx="39">
                  <c:v>45637</c:v>
                </c:pt>
                <c:pt idx="40">
                  <c:v>45638</c:v>
                </c:pt>
              </c:numCache>
            </c:numRef>
          </c:cat>
          <c:val>
            <c:numRef>
              <c:f>'Sprint 2'!$I$83:$AW$83</c:f>
              <c:numCache>
                <c:formatCode>General</c:formatCode>
                <c:ptCount val="41"/>
                <c:pt idx="0">
                  <c:v>108</c:v>
                </c:pt>
                <c:pt idx="1">
                  <c:v>108</c:v>
                </c:pt>
                <c:pt idx="2">
                  <c:v>102</c:v>
                </c:pt>
                <c:pt idx="3">
                  <c:v>100</c:v>
                </c:pt>
                <c:pt idx="4">
                  <c:v>98</c:v>
                </c:pt>
                <c:pt idx="5">
                  <c:v>89</c:v>
                </c:pt>
                <c:pt idx="6">
                  <c:v>88</c:v>
                </c:pt>
                <c:pt idx="7">
                  <c:v>84</c:v>
                </c:pt>
                <c:pt idx="8">
                  <c:v>82</c:v>
                </c:pt>
                <c:pt idx="9">
                  <c:v>77</c:v>
                </c:pt>
                <c:pt idx="10">
                  <c:v>72</c:v>
                </c:pt>
                <c:pt idx="11">
                  <c:v>69</c:v>
                </c:pt>
                <c:pt idx="12">
                  <c:v>69</c:v>
                </c:pt>
                <c:pt idx="13">
                  <c:v>68</c:v>
                </c:pt>
                <c:pt idx="14">
                  <c:v>67</c:v>
                </c:pt>
                <c:pt idx="15">
                  <c:v>66</c:v>
                </c:pt>
                <c:pt idx="16">
                  <c:v>64</c:v>
                </c:pt>
                <c:pt idx="17">
                  <c:v>62</c:v>
                </c:pt>
                <c:pt idx="18">
                  <c:v>60</c:v>
                </c:pt>
                <c:pt idx="19">
                  <c:v>60</c:v>
                </c:pt>
                <c:pt idx="20">
                  <c:v>58</c:v>
                </c:pt>
                <c:pt idx="21">
                  <c:v>56</c:v>
                </c:pt>
                <c:pt idx="22">
                  <c:v>53</c:v>
                </c:pt>
                <c:pt idx="23">
                  <c:v>53</c:v>
                </c:pt>
                <c:pt idx="24">
                  <c:v>52</c:v>
                </c:pt>
                <c:pt idx="25">
                  <c:v>48</c:v>
                </c:pt>
                <c:pt idx="26">
                  <c:v>47</c:v>
                </c:pt>
                <c:pt idx="27">
                  <c:v>46</c:v>
                </c:pt>
                <c:pt idx="28">
                  <c:v>44</c:v>
                </c:pt>
                <c:pt idx="29">
                  <c:v>43</c:v>
                </c:pt>
                <c:pt idx="30">
                  <c:v>42</c:v>
                </c:pt>
                <c:pt idx="31">
                  <c:v>32</c:v>
                </c:pt>
                <c:pt idx="32">
                  <c:v>30</c:v>
                </c:pt>
                <c:pt idx="33">
                  <c:v>29</c:v>
                </c:pt>
                <c:pt idx="34">
                  <c:v>28</c:v>
                </c:pt>
                <c:pt idx="35">
                  <c:v>27</c:v>
                </c:pt>
                <c:pt idx="36">
                  <c:v>23</c:v>
                </c:pt>
                <c:pt idx="37">
                  <c:v>16</c:v>
                </c:pt>
                <c:pt idx="38">
                  <c:v>10</c:v>
                </c:pt>
                <c:pt idx="39">
                  <c:v>10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2'!$I$14:$AW$14</c:f>
              <c:numCache>
                <c:formatCode>dd/mm</c:formatCode>
                <c:ptCount val="41"/>
                <c:pt idx="0">
                  <c:v>45598</c:v>
                </c:pt>
                <c:pt idx="1">
                  <c:v>45599</c:v>
                </c:pt>
                <c:pt idx="2">
                  <c:v>45600</c:v>
                </c:pt>
                <c:pt idx="3">
                  <c:v>45601</c:v>
                </c:pt>
                <c:pt idx="4">
                  <c:v>45602</c:v>
                </c:pt>
                <c:pt idx="5">
                  <c:v>45603</c:v>
                </c:pt>
                <c:pt idx="6">
                  <c:v>45604</c:v>
                </c:pt>
                <c:pt idx="7">
                  <c:v>45605</c:v>
                </c:pt>
                <c:pt idx="8">
                  <c:v>45606</c:v>
                </c:pt>
                <c:pt idx="9">
                  <c:v>45607</c:v>
                </c:pt>
                <c:pt idx="10">
                  <c:v>45608</c:v>
                </c:pt>
                <c:pt idx="11">
                  <c:v>45609</c:v>
                </c:pt>
                <c:pt idx="12">
                  <c:v>45610</c:v>
                </c:pt>
                <c:pt idx="13">
                  <c:v>45611</c:v>
                </c:pt>
                <c:pt idx="14">
                  <c:v>45612</c:v>
                </c:pt>
                <c:pt idx="15">
                  <c:v>45613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45619</c:v>
                </c:pt>
                <c:pt idx="22">
                  <c:v>45620</c:v>
                </c:pt>
                <c:pt idx="23">
                  <c:v>45621</c:v>
                </c:pt>
                <c:pt idx="24">
                  <c:v>45622</c:v>
                </c:pt>
                <c:pt idx="25">
                  <c:v>45623</c:v>
                </c:pt>
                <c:pt idx="26">
                  <c:v>45624</c:v>
                </c:pt>
                <c:pt idx="27">
                  <c:v>45625</c:v>
                </c:pt>
                <c:pt idx="28">
                  <c:v>45626</c:v>
                </c:pt>
                <c:pt idx="29">
                  <c:v>45627</c:v>
                </c:pt>
                <c:pt idx="30">
                  <c:v>45628</c:v>
                </c:pt>
                <c:pt idx="31">
                  <c:v>45629</c:v>
                </c:pt>
                <c:pt idx="32">
                  <c:v>45630</c:v>
                </c:pt>
                <c:pt idx="33">
                  <c:v>45631</c:v>
                </c:pt>
                <c:pt idx="34">
                  <c:v>45632</c:v>
                </c:pt>
                <c:pt idx="35">
                  <c:v>45633</c:v>
                </c:pt>
                <c:pt idx="36">
                  <c:v>45634</c:v>
                </c:pt>
                <c:pt idx="37">
                  <c:v>45635</c:v>
                </c:pt>
                <c:pt idx="38">
                  <c:v>45636</c:v>
                </c:pt>
                <c:pt idx="39">
                  <c:v>45637</c:v>
                </c:pt>
                <c:pt idx="40">
                  <c:v>45638</c:v>
                </c:pt>
              </c:numCache>
            </c:numRef>
          </c:cat>
          <c:val>
            <c:numRef>
              <c:f>'Sprint 2'!$I$84:$AW$84</c:f>
              <c:numCache>
                <c:formatCode>General</c:formatCode>
                <c:ptCount val="41"/>
                <c:pt idx="0">
                  <c:v>108</c:v>
                </c:pt>
                <c:pt idx="1">
                  <c:v>108</c:v>
                </c:pt>
                <c:pt idx="2">
                  <c:v>104</c:v>
                </c:pt>
                <c:pt idx="3">
                  <c:v>100</c:v>
                </c:pt>
                <c:pt idx="4">
                  <c:v>98</c:v>
                </c:pt>
                <c:pt idx="5">
                  <c:v>92</c:v>
                </c:pt>
                <c:pt idx="6">
                  <c:v>88</c:v>
                </c:pt>
                <c:pt idx="7">
                  <c:v>84</c:v>
                </c:pt>
                <c:pt idx="8">
                  <c:v>82</c:v>
                </c:pt>
                <c:pt idx="9">
                  <c:v>82</c:v>
                </c:pt>
                <c:pt idx="10">
                  <c:v>76</c:v>
                </c:pt>
                <c:pt idx="11">
                  <c:v>72</c:v>
                </c:pt>
                <c:pt idx="12">
                  <c:v>69</c:v>
                </c:pt>
                <c:pt idx="13">
                  <c:v>69</c:v>
                </c:pt>
                <c:pt idx="14">
                  <c:v>67</c:v>
                </c:pt>
                <c:pt idx="15">
                  <c:v>66</c:v>
                </c:pt>
                <c:pt idx="16">
                  <c:v>64</c:v>
                </c:pt>
                <c:pt idx="17">
                  <c:v>62</c:v>
                </c:pt>
                <c:pt idx="18">
                  <c:v>60</c:v>
                </c:pt>
                <c:pt idx="19">
                  <c:v>60</c:v>
                </c:pt>
                <c:pt idx="20">
                  <c:v>58</c:v>
                </c:pt>
                <c:pt idx="21">
                  <c:v>57</c:v>
                </c:pt>
                <c:pt idx="22">
                  <c:v>53</c:v>
                </c:pt>
                <c:pt idx="23">
                  <c:v>53</c:v>
                </c:pt>
                <c:pt idx="24">
                  <c:v>51</c:v>
                </c:pt>
                <c:pt idx="25">
                  <c:v>48</c:v>
                </c:pt>
                <c:pt idx="26">
                  <c:v>47</c:v>
                </c:pt>
                <c:pt idx="27">
                  <c:v>46</c:v>
                </c:pt>
                <c:pt idx="28">
                  <c:v>44</c:v>
                </c:pt>
                <c:pt idx="29">
                  <c:v>43</c:v>
                </c:pt>
                <c:pt idx="30">
                  <c:v>42</c:v>
                </c:pt>
                <c:pt idx="31">
                  <c:v>32</c:v>
                </c:pt>
                <c:pt idx="32">
                  <c:v>32</c:v>
                </c:pt>
                <c:pt idx="33">
                  <c:v>29</c:v>
                </c:pt>
                <c:pt idx="34">
                  <c:v>28</c:v>
                </c:pt>
                <c:pt idx="35">
                  <c:v>28</c:v>
                </c:pt>
                <c:pt idx="36">
                  <c:v>23</c:v>
                </c:pt>
                <c:pt idx="37">
                  <c:v>16</c:v>
                </c:pt>
                <c:pt idx="38">
                  <c:v>10</c:v>
                </c:pt>
                <c:pt idx="39">
                  <c:v>10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2.3842034023669037E-2"/>
          <c:y val="0.80564443153642507"/>
          <c:w val="8.0339475969114574E-2"/>
          <c:h val="0.11522708696784371"/>
        </c:manualLayout>
      </c:layout>
      <c:overlay val="0"/>
    </c:legend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97</xdr:row>
      <xdr:rowOff>57149</xdr:rowOff>
    </xdr:from>
    <xdr:to>
      <xdr:col>18</xdr:col>
      <xdr:colOff>285750</xdr:colOff>
      <xdr:row>129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99</xdr:row>
      <xdr:rowOff>29936</xdr:rowOff>
    </xdr:from>
    <xdr:to>
      <xdr:col>16</xdr:col>
      <xdr:colOff>326571</xdr:colOff>
      <xdr:row>112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401488</xdr:colOff>
      <xdr:row>86</xdr:row>
      <xdr:rowOff>172888</xdr:rowOff>
    </xdr:from>
    <xdr:to>
      <xdr:col>30</xdr:col>
      <xdr:colOff>392545</xdr:colOff>
      <xdr:row>114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6"/>
  <sheetViews>
    <sheetView zoomScale="55" zoomScaleNormal="55" workbookViewId="0">
      <selection activeCell="A13" sqref="A13:XFD13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55.44140625" style="1" customWidth="1"/>
    <col min="4" max="5" width="11" style="1" customWidth="1"/>
    <col min="6" max="6" width="20.5546875" style="1" customWidth="1"/>
    <col min="7" max="8" width="6.109375" style="1" customWidth="1"/>
    <col min="9" max="9" width="6" style="1" customWidth="1"/>
    <col min="10" max="11" width="6.109375" style="1" customWidth="1"/>
    <col min="12" max="12" width="7.33203125" style="1" customWidth="1"/>
    <col min="13" max="14" width="6" style="1" customWidth="1"/>
    <col min="15" max="15" width="6.109375" style="1" customWidth="1"/>
    <col min="16" max="20" width="6" style="1" customWidth="1"/>
    <col min="21" max="23" width="6.109375" style="1" customWidth="1"/>
    <col min="24" max="24" width="6" style="1" customWidth="1"/>
    <col min="25" max="25" width="6.109375" style="1" customWidth="1"/>
    <col min="26" max="26" width="6" style="1" customWidth="1"/>
    <col min="27" max="27" width="5.88671875" style="1" customWidth="1"/>
    <col min="28" max="28" width="6.109375" style="1" customWidth="1"/>
    <col min="29" max="44" width="6" style="1" customWidth="1"/>
    <col min="45" max="16384" width="9.109375" style="1"/>
  </cols>
  <sheetData>
    <row r="1" spans="1:44" ht="51" thickBot="1" x14ac:dyDescent="0.35">
      <c r="A1" s="60" t="s">
        <v>3</v>
      </c>
      <c r="B1" s="60"/>
      <c r="C1" s="35" t="s">
        <v>170</v>
      </c>
      <c r="E1" s="9"/>
      <c r="F1" s="10" t="s">
        <v>53</v>
      </c>
    </row>
    <row r="2" spans="1:44" ht="17.399999999999999" thickBot="1" x14ac:dyDescent="0.35">
      <c r="A2" s="60" t="s">
        <v>2</v>
      </c>
      <c r="B2" s="60"/>
      <c r="C2" s="3" t="s">
        <v>4</v>
      </c>
      <c r="E2" s="13"/>
      <c r="F2" s="12" t="s">
        <v>50</v>
      </c>
    </row>
    <row r="3" spans="1:44" ht="17.399999999999999" thickBot="1" x14ac:dyDescent="0.35">
      <c r="A3" s="60" t="s">
        <v>1</v>
      </c>
      <c r="B3" s="60"/>
      <c r="C3" s="45" t="s">
        <v>171</v>
      </c>
      <c r="E3" s="15"/>
      <c r="F3" s="16" t="s">
        <v>48</v>
      </c>
    </row>
    <row r="4" spans="1:44" ht="17.25" customHeight="1" thickBot="1" x14ac:dyDescent="0.35">
      <c r="A4" s="60" t="s">
        <v>0</v>
      </c>
      <c r="B4" s="60"/>
      <c r="C4" s="45">
        <v>45668</v>
      </c>
    </row>
    <row r="5" spans="1:44" ht="16.5" customHeight="1" thickBot="1" x14ac:dyDescent="0.35"/>
    <row r="6" spans="1:44" ht="17.399999999999999" thickBot="1" x14ac:dyDescent="0.35">
      <c r="B6" s="61" t="s">
        <v>34</v>
      </c>
      <c r="C6" s="61"/>
      <c r="D6" s="61"/>
      <c r="E6" s="62"/>
    </row>
    <row r="7" spans="1:44" ht="17.399999999999999" thickBot="1" x14ac:dyDescent="0.35">
      <c r="B7" s="6" t="s">
        <v>5</v>
      </c>
      <c r="C7" s="6" t="s">
        <v>45</v>
      </c>
      <c r="D7" s="6" t="s">
        <v>10</v>
      </c>
      <c r="E7" s="6" t="s">
        <v>44</v>
      </c>
    </row>
    <row r="8" spans="1:44" ht="17.399999999999999" thickBot="1" x14ac:dyDescent="0.35">
      <c r="B8" s="7">
        <v>1</v>
      </c>
      <c r="C8" s="7" t="s">
        <v>165</v>
      </c>
      <c r="D8" s="3">
        <f ca="1">SUMIF($E$14:$F$81,"Viên",$G$14:$G$81)+SUMIF($E$14:$F$81,"All team",$G$14:$G$81)/4+SUMIF($E$14:$F$81,"Hoàng, Viên",$G$14:$G$81)/2+SUMIF($E$14:$F$81,"Viên, Vinh",$G$14:$G$81)/2</f>
        <v>49.5</v>
      </c>
      <c r="E8" s="3">
        <f ca="1">SUMIF($E$14:$F$81,"Viên",$H$14:$H$81)+SUMIF($E$14:$F$81,"All team",$H$14:$H$81)/4+SUMIF($E$14:$F$81,"Hoàng, Viên",$H$14:$H$81)/2+SUMIF($E$14:$F$81,"Viên, Vinh",$H$14:$H$81)/2</f>
        <v>48</v>
      </c>
    </row>
    <row r="9" spans="1:44" ht="17.399999999999999" thickBot="1" x14ac:dyDescent="0.35">
      <c r="B9" s="7">
        <v>2</v>
      </c>
      <c r="C9" s="7" t="s">
        <v>167</v>
      </c>
      <c r="D9" s="3">
        <f ca="1">SUMIF($E$14:$F$81,"Trình",$G$14:$G$81)+SUMIF($E$14:$F$81,"All team",$G$14:$G$81)/4+SUMIF($E$14:$F$81,"Trình,Vinh",$G$14:$G$81)/2+SUMIF($E$14:$F$81,"Trình,  Hoàng",$G$14:$G$81)/2</f>
        <v>35.5</v>
      </c>
      <c r="E9" s="3">
        <f ca="1">SUMIF($E$14:$F$81,"Trình",$H$14:$H$81)+SUMIF($E$14:$F$81,"All team",$H$14:$H$81)/4+SUMIF($E$14:$F$81,"Trình, Hoàng",$H$14:$H$81)/2+SUMIF($E$14:$F$81,"Trình,Vinh",$H$14:$H$81)/2</f>
        <v>37</v>
      </c>
    </row>
    <row r="10" spans="1:44" ht="17.399999999999999" thickBot="1" x14ac:dyDescent="0.35">
      <c r="B10" s="7">
        <v>3</v>
      </c>
      <c r="C10" s="7" t="s">
        <v>168</v>
      </c>
      <c r="D10" s="3">
        <f ca="1">SUMIF($E$14:$F$81,"Vinh",$G$14:$G$81)+SUMIF($E$14:$F$81,"All team",$G$14:$G$81)/4+SUMIF($E$14:$F$81,"Vinh, Hoàng",$G$14:$G$81)/2+SUMIF($E$14:$F$81,"Trình, Vinh",$G$14:$G$81)/2+SUMIF($E$14:$F$81,"Viên, Vinh",$G$14:$G$81)/2</f>
        <v>31.5</v>
      </c>
      <c r="E10" s="3">
        <f ca="1">SUMIF($E$14:$F$81,"Vinh",$H$14:$H$81)+SUMIF($E$14:$F$81,"All team",$H$14:$H$81)/4+SUMIF($E$14:$F$81,"Vinh, Hoàng",$H$14:$H$81)/2+SUMIF($E$14:$F$81,"Trình, Vinh",$G$14:$G$81)/2+SUMIF($E$14:$F$81,"Viên, Vinh",$G$14:$G$81)/2</f>
        <v>30</v>
      </c>
    </row>
    <row r="11" spans="1:44" ht="17.399999999999999" thickBot="1" x14ac:dyDescent="0.35">
      <c r="B11" s="7">
        <v>4</v>
      </c>
      <c r="C11" s="7" t="s">
        <v>169</v>
      </c>
      <c r="D11" s="3">
        <f ca="1">SUMIF($E$14:$F$81,"Hoàng",$G$14:$G$81)+SUMIF($E$14:$F$81,"All team",$G$14:$G$81)/4+SUMIF($E$14:$F$81,"Trình, Hoàng",$G$14:$G$81)/2+SUMIF($E$14:$F$81,"Hoàng, Viên",$G$14:$G$81)/2+SUMIF($E$14:$F$81,"Vinh, Hoàng",$G$14:$G$81)/2</f>
        <v>33.5</v>
      </c>
      <c r="E11" s="3">
        <f ca="1">SUMIF($E$14:$F$81,"Hoàng",$H$14:$H$81)+SUMIF($E$14:$F$81,"All team",$H$14:$H$81)/4+SUMIF($E$14:$F$81,"Trình, Hoàng",$H$14:$H$81)/2+SUMIF($E$14:$F$81,"Hoàng, Viên",$H$14:$H$81)/2+SUMIF($E$14:$F$81,"Vinh, Hoàng",$H$14:$H$81)/2</f>
        <v>34</v>
      </c>
    </row>
    <row r="12" spans="1:44" ht="17.399999999999999" thickBot="1" x14ac:dyDescent="0.35">
      <c r="B12" s="63" t="s">
        <v>11</v>
      </c>
      <c r="C12" s="63"/>
      <c r="D12" s="5">
        <f ca="1">SUM(D8:D11)</f>
        <v>150</v>
      </c>
      <c r="E12" s="5">
        <f ca="1">SUM(E8:E11)</f>
        <v>149</v>
      </c>
    </row>
    <row r="14" spans="1:44" ht="62.25" customHeight="1" x14ac:dyDescent="0.3">
      <c r="A14" s="17" t="s">
        <v>6</v>
      </c>
      <c r="B14" s="17" t="s">
        <v>7</v>
      </c>
      <c r="C14" s="64" t="s">
        <v>8</v>
      </c>
      <c r="D14" s="64"/>
      <c r="E14" s="64" t="s">
        <v>9</v>
      </c>
      <c r="F14" s="64"/>
      <c r="G14" s="18" t="s">
        <v>10</v>
      </c>
      <c r="H14" s="18" t="s">
        <v>44</v>
      </c>
      <c r="I14" s="19">
        <v>45927</v>
      </c>
      <c r="J14" s="19">
        <v>45928</v>
      </c>
      <c r="K14" s="19">
        <v>45929</v>
      </c>
      <c r="L14" s="19">
        <v>45930</v>
      </c>
      <c r="M14" s="19">
        <v>45931</v>
      </c>
      <c r="N14" s="19">
        <v>45932</v>
      </c>
      <c r="O14" s="19">
        <v>45933</v>
      </c>
      <c r="P14" s="19">
        <v>45934</v>
      </c>
      <c r="Q14" s="19">
        <v>45935</v>
      </c>
      <c r="R14" s="19">
        <v>45936</v>
      </c>
      <c r="S14" s="19">
        <v>45937</v>
      </c>
      <c r="T14" s="19">
        <v>45938</v>
      </c>
      <c r="U14" s="19">
        <v>45939</v>
      </c>
      <c r="V14" s="19">
        <v>45940</v>
      </c>
      <c r="W14" s="19">
        <v>45941</v>
      </c>
      <c r="X14" s="19">
        <v>45942</v>
      </c>
      <c r="Y14" s="19">
        <v>45943</v>
      </c>
      <c r="Z14" s="19">
        <v>45944</v>
      </c>
      <c r="AA14" s="19">
        <v>45945</v>
      </c>
      <c r="AB14" s="19">
        <v>45946</v>
      </c>
      <c r="AC14" s="19">
        <v>45947</v>
      </c>
      <c r="AD14" s="19">
        <v>45948</v>
      </c>
      <c r="AE14" s="19">
        <v>45949</v>
      </c>
      <c r="AF14" s="19">
        <v>45950</v>
      </c>
      <c r="AG14" s="19">
        <v>45951</v>
      </c>
      <c r="AH14" s="19">
        <v>45952</v>
      </c>
      <c r="AI14" s="19">
        <v>45953</v>
      </c>
      <c r="AJ14" s="19">
        <v>45954</v>
      </c>
      <c r="AK14" s="19">
        <v>45955</v>
      </c>
      <c r="AL14" s="19">
        <v>45956</v>
      </c>
      <c r="AM14" s="19">
        <v>45957</v>
      </c>
      <c r="AN14" s="19">
        <v>45958</v>
      </c>
      <c r="AO14" s="19">
        <v>45959</v>
      </c>
      <c r="AP14" s="19">
        <v>45960</v>
      </c>
      <c r="AQ14" s="19">
        <v>45961</v>
      </c>
      <c r="AR14" s="19">
        <v>45962</v>
      </c>
    </row>
    <row r="15" spans="1:44" x14ac:dyDescent="0.3">
      <c r="A15" s="54" t="s">
        <v>4</v>
      </c>
      <c r="B15" s="53" t="s">
        <v>12</v>
      </c>
      <c r="C15" s="53"/>
      <c r="D15" s="53"/>
      <c r="E15" s="48" t="s">
        <v>43</v>
      </c>
      <c r="F15" s="48"/>
      <c r="G15" s="20">
        <f>H15-I15</f>
        <v>10</v>
      </c>
      <c r="H15" s="20">
        <v>10</v>
      </c>
      <c r="I15" s="21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</row>
    <row r="16" spans="1:44" x14ac:dyDescent="0.3">
      <c r="A16" s="54"/>
      <c r="B16" s="53" t="s">
        <v>13</v>
      </c>
      <c r="C16" s="53"/>
      <c r="D16" s="53"/>
      <c r="E16" s="48" t="s">
        <v>172</v>
      </c>
      <c r="F16" s="48"/>
      <c r="G16" s="20">
        <v>4</v>
      </c>
      <c r="H16" s="20">
        <v>4</v>
      </c>
      <c r="I16" s="20">
        <v>4</v>
      </c>
      <c r="J16" s="21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</row>
    <row r="17" spans="1:44" x14ac:dyDescent="0.3">
      <c r="A17" s="54"/>
      <c r="B17" s="53" t="s">
        <v>14</v>
      </c>
      <c r="C17" s="53"/>
      <c r="D17" s="53"/>
      <c r="E17" s="48" t="s">
        <v>60</v>
      </c>
      <c r="F17" s="48"/>
      <c r="G17" s="20">
        <f>H17-K17</f>
        <v>4</v>
      </c>
      <c r="H17" s="20">
        <v>4</v>
      </c>
      <c r="I17" s="20">
        <v>4</v>
      </c>
      <c r="J17" s="21">
        <v>0</v>
      </c>
      <c r="K17" s="44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</row>
    <row r="18" spans="1:44" x14ac:dyDescent="0.3">
      <c r="A18" s="54"/>
      <c r="B18" s="54" t="s">
        <v>17</v>
      </c>
      <c r="C18" s="53" t="s">
        <v>15</v>
      </c>
      <c r="D18" s="53"/>
      <c r="E18" s="48" t="s">
        <v>61</v>
      </c>
      <c r="F18" s="48"/>
      <c r="G18" s="20">
        <v>1</v>
      </c>
      <c r="H18" s="20">
        <v>1</v>
      </c>
      <c r="I18" s="20">
        <v>1</v>
      </c>
      <c r="J18" s="20">
        <v>1</v>
      </c>
      <c r="K18" s="21">
        <v>0</v>
      </c>
      <c r="L18" s="36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</row>
    <row r="19" spans="1:44" x14ac:dyDescent="0.3">
      <c r="A19" s="54"/>
      <c r="B19" s="54"/>
      <c r="C19" s="53" t="s">
        <v>62</v>
      </c>
      <c r="D19" s="53"/>
      <c r="E19" s="51" t="s">
        <v>61</v>
      </c>
      <c r="F19" s="52"/>
      <c r="G19" s="20">
        <v>1</v>
      </c>
      <c r="H19" s="20">
        <v>1</v>
      </c>
      <c r="I19" s="20">
        <v>1</v>
      </c>
      <c r="J19" s="20">
        <v>1</v>
      </c>
      <c r="K19" s="21">
        <v>0</v>
      </c>
      <c r="L19" s="36">
        <v>0</v>
      </c>
      <c r="M19" s="20">
        <v>0</v>
      </c>
      <c r="N19" s="36">
        <v>0</v>
      </c>
      <c r="O19" s="20">
        <v>0</v>
      </c>
      <c r="P19" s="36">
        <v>0</v>
      </c>
      <c r="Q19" s="20">
        <v>0</v>
      </c>
      <c r="R19" s="36">
        <v>0</v>
      </c>
      <c r="S19" s="20">
        <v>0</v>
      </c>
      <c r="T19" s="36">
        <v>0</v>
      </c>
      <c r="U19" s="20">
        <v>0</v>
      </c>
      <c r="V19" s="36">
        <v>0</v>
      </c>
      <c r="W19" s="20">
        <v>0</v>
      </c>
      <c r="X19" s="36">
        <v>0</v>
      </c>
      <c r="Y19" s="20">
        <v>0</v>
      </c>
      <c r="Z19" s="36">
        <v>0</v>
      </c>
      <c r="AA19" s="20">
        <v>0</v>
      </c>
      <c r="AB19" s="36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</row>
    <row r="20" spans="1:44" x14ac:dyDescent="0.3">
      <c r="A20" s="54"/>
      <c r="B20" s="54"/>
      <c r="C20" s="53" t="s">
        <v>54</v>
      </c>
      <c r="D20" s="53"/>
      <c r="E20" s="48" t="s">
        <v>61</v>
      </c>
      <c r="F20" s="48"/>
      <c r="G20" s="20">
        <v>1</v>
      </c>
      <c r="H20" s="20">
        <v>1</v>
      </c>
      <c r="I20" s="20">
        <v>1</v>
      </c>
      <c r="J20" s="20">
        <v>1</v>
      </c>
      <c r="K20" s="21">
        <v>0</v>
      </c>
      <c r="L20" s="36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</row>
    <row r="21" spans="1:44" ht="16.2" customHeight="1" x14ac:dyDescent="0.3">
      <c r="A21" s="54"/>
      <c r="B21" s="54"/>
      <c r="C21" s="53" t="s">
        <v>16</v>
      </c>
      <c r="D21" s="53"/>
      <c r="E21" s="48" t="s">
        <v>61</v>
      </c>
      <c r="F21" s="48"/>
      <c r="G21" s="20">
        <v>3</v>
      </c>
      <c r="H21" s="20">
        <v>1</v>
      </c>
      <c r="I21" s="20">
        <v>2</v>
      </c>
      <c r="J21" s="20">
        <v>2</v>
      </c>
      <c r="K21" s="36">
        <v>2</v>
      </c>
      <c r="L21" s="21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</row>
    <row r="22" spans="1:44" x14ac:dyDescent="0.3">
      <c r="A22" s="54"/>
      <c r="B22" s="54"/>
      <c r="C22" s="51"/>
      <c r="D22" s="52"/>
      <c r="E22" s="51"/>
      <c r="F22" s="52"/>
      <c r="G22" s="20"/>
      <c r="H22" s="20"/>
      <c r="I22" s="20"/>
      <c r="J22" s="20"/>
      <c r="L22" s="23">
        <v>2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</row>
    <row r="23" spans="1:44" x14ac:dyDescent="0.3">
      <c r="A23" s="54"/>
      <c r="B23" s="54"/>
      <c r="C23" s="53" t="s">
        <v>63</v>
      </c>
      <c r="D23" s="53"/>
      <c r="E23" s="48" t="s">
        <v>65</v>
      </c>
      <c r="F23" s="48"/>
      <c r="G23" s="20">
        <v>2</v>
      </c>
      <c r="H23" s="20">
        <v>2</v>
      </c>
      <c r="I23" s="20">
        <v>1</v>
      </c>
      <c r="J23" s="20">
        <v>1</v>
      </c>
      <c r="K23" s="21">
        <v>0</v>
      </c>
      <c r="L23" s="44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</row>
    <row r="24" spans="1:44" x14ac:dyDescent="0.3">
      <c r="A24" s="54"/>
      <c r="B24" s="54"/>
      <c r="C24" s="53" t="s">
        <v>64</v>
      </c>
      <c r="D24" s="53"/>
      <c r="E24" s="48" t="s">
        <v>65</v>
      </c>
      <c r="F24" s="48"/>
      <c r="G24" s="20">
        <v>2</v>
      </c>
      <c r="H24" s="20">
        <v>2</v>
      </c>
      <c r="I24" s="20">
        <v>2</v>
      </c>
      <c r="J24" s="20">
        <v>1</v>
      </c>
      <c r="K24" s="21">
        <v>0</v>
      </c>
      <c r="L24" s="20">
        <v>1</v>
      </c>
      <c r="M24" s="44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</row>
    <row r="25" spans="1:44" x14ac:dyDescent="0.3">
      <c r="A25" s="54"/>
      <c r="B25" s="54"/>
      <c r="C25" s="53" t="s">
        <v>66</v>
      </c>
      <c r="D25" s="53"/>
      <c r="E25" s="48" t="s">
        <v>67</v>
      </c>
      <c r="F25" s="48"/>
      <c r="G25" s="20">
        <v>2</v>
      </c>
      <c r="H25" s="20">
        <v>2</v>
      </c>
      <c r="I25" s="20">
        <v>2</v>
      </c>
      <c r="J25" s="20">
        <v>1</v>
      </c>
      <c r="K25" s="44">
        <v>1</v>
      </c>
      <c r="L25" s="21">
        <v>0</v>
      </c>
      <c r="M25" s="44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</row>
    <row r="26" spans="1:44" x14ac:dyDescent="0.3">
      <c r="A26" s="54"/>
      <c r="B26" s="54"/>
      <c r="C26" s="49" t="s">
        <v>68</v>
      </c>
      <c r="D26" s="50"/>
      <c r="E26" s="51" t="s">
        <v>67</v>
      </c>
      <c r="F26" s="52"/>
      <c r="G26" s="20">
        <v>2</v>
      </c>
      <c r="H26" s="20">
        <v>2</v>
      </c>
      <c r="I26" s="20">
        <v>2</v>
      </c>
      <c r="J26" s="20">
        <v>2</v>
      </c>
      <c r="K26" s="20">
        <v>1</v>
      </c>
      <c r="L26" s="21">
        <v>0</v>
      </c>
      <c r="M26" s="36">
        <v>0</v>
      </c>
      <c r="N26" s="44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</row>
    <row r="27" spans="1:44" x14ac:dyDescent="0.3">
      <c r="A27" s="54"/>
      <c r="B27" s="54"/>
      <c r="C27" s="49" t="s">
        <v>69</v>
      </c>
      <c r="D27" s="50"/>
      <c r="E27" s="51" t="s">
        <v>56</v>
      </c>
      <c r="F27" s="52"/>
      <c r="G27" s="20">
        <v>2</v>
      </c>
      <c r="H27" s="20">
        <v>2</v>
      </c>
      <c r="I27" s="20">
        <v>2</v>
      </c>
      <c r="J27" s="20">
        <v>1</v>
      </c>
      <c r="K27" s="20">
        <v>1</v>
      </c>
      <c r="L27" s="21">
        <v>0</v>
      </c>
      <c r="M27" s="36">
        <v>0</v>
      </c>
      <c r="N27" s="44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</row>
    <row r="28" spans="1:44" x14ac:dyDescent="0.3">
      <c r="A28" s="54"/>
      <c r="B28" s="54"/>
      <c r="C28" s="40" t="s">
        <v>70</v>
      </c>
      <c r="D28" s="41"/>
      <c r="E28" s="51" t="s">
        <v>56</v>
      </c>
      <c r="F28" s="52"/>
      <c r="G28" s="20">
        <v>2</v>
      </c>
      <c r="H28" s="20">
        <v>2</v>
      </c>
      <c r="I28" s="20">
        <v>2</v>
      </c>
      <c r="J28" s="20">
        <v>1</v>
      </c>
      <c r="K28" s="20">
        <v>1</v>
      </c>
      <c r="L28" s="21">
        <v>0</v>
      </c>
      <c r="M28" s="36">
        <v>0</v>
      </c>
      <c r="N28" s="44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</row>
    <row r="29" spans="1:44" x14ac:dyDescent="0.3">
      <c r="A29" s="54"/>
      <c r="B29" s="54"/>
      <c r="C29" s="53" t="s">
        <v>21</v>
      </c>
      <c r="D29" s="53"/>
      <c r="E29" s="48" t="s">
        <v>43</v>
      </c>
      <c r="F29" s="48"/>
      <c r="G29" s="20">
        <f>H29+N30</f>
        <v>10</v>
      </c>
      <c r="H29" s="20">
        <v>10</v>
      </c>
      <c r="I29" s="20">
        <v>10</v>
      </c>
      <c r="J29" s="20">
        <v>10</v>
      </c>
      <c r="K29" s="20">
        <v>10</v>
      </c>
      <c r="L29" s="20">
        <v>9</v>
      </c>
      <c r="M29" s="21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</row>
    <row r="30" spans="1:44" x14ac:dyDescent="0.3">
      <c r="A30" s="54"/>
      <c r="B30" s="54"/>
      <c r="C30" s="53"/>
      <c r="D30" s="53"/>
      <c r="E30" s="48"/>
      <c r="F30" s="48"/>
      <c r="G30" s="20"/>
      <c r="H30" s="20"/>
      <c r="I30" s="20"/>
      <c r="J30" s="20"/>
      <c r="K30" s="20"/>
      <c r="L30" s="20"/>
      <c r="M30" s="22">
        <v>-1</v>
      </c>
      <c r="N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1:44" x14ac:dyDescent="0.3">
      <c r="A31" s="54"/>
      <c r="B31" s="54" t="s">
        <v>22</v>
      </c>
      <c r="C31" s="53" t="s">
        <v>18</v>
      </c>
      <c r="D31" s="53"/>
      <c r="E31" s="51" t="s">
        <v>56</v>
      </c>
      <c r="F31" s="52"/>
      <c r="G31" s="20">
        <v>1</v>
      </c>
      <c r="H31" s="20">
        <v>1</v>
      </c>
      <c r="I31" s="20">
        <v>1</v>
      </c>
      <c r="J31" s="20">
        <v>1</v>
      </c>
      <c r="K31" s="20">
        <v>1</v>
      </c>
      <c r="L31" s="20">
        <v>1</v>
      </c>
      <c r="M31" s="20">
        <v>1</v>
      </c>
      <c r="N31" s="21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</row>
    <row r="32" spans="1:44" x14ac:dyDescent="0.3">
      <c r="A32" s="54"/>
      <c r="B32" s="54"/>
      <c r="C32" s="53" t="s">
        <v>71</v>
      </c>
      <c r="D32" s="53"/>
      <c r="E32" s="51" t="s">
        <v>56</v>
      </c>
      <c r="F32" s="52"/>
      <c r="G32" s="20">
        <v>1</v>
      </c>
      <c r="H32" s="20">
        <v>1</v>
      </c>
      <c r="I32" s="20">
        <v>1</v>
      </c>
      <c r="J32" s="20">
        <v>1</v>
      </c>
      <c r="K32" s="20">
        <v>1</v>
      </c>
      <c r="L32" s="20">
        <v>1</v>
      </c>
      <c r="M32" s="20">
        <v>1</v>
      </c>
      <c r="N32" s="21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</row>
    <row r="33" spans="1:44" x14ac:dyDescent="0.3">
      <c r="A33" s="54"/>
      <c r="B33" s="54"/>
      <c r="C33" s="49" t="s">
        <v>55</v>
      </c>
      <c r="D33" s="50"/>
      <c r="E33" s="51" t="s">
        <v>56</v>
      </c>
      <c r="F33" s="52"/>
      <c r="G33" s="20">
        <v>1</v>
      </c>
      <c r="H33" s="20">
        <v>1</v>
      </c>
      <c r="I33" s="20">
        <v>1</v>
      </c>
      <c r="J33" s="20">
        <v>1</v>
      </c>
      <c r="K33" s="20">
        <v>1</v>
      </c>
      <c r="L33" s="20">
        <v>1</v>
      </c>
      <c r="M33" s="20">
        <v>1</v>
      </c>
      <c r="N33" s="21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</row>
    <row r="34" spans="1:44" x14ac:dyDescent="0.3">
      <c r="A34" s="54"/>
      <c r="B34" s="54"/>
      <c r="C34" s="53" t="s">
        <v>19</v>
      </c>
      <c r="D34" s="53"/>
      <c r="E34" s="51" t="s">
        <v>56</v>
      </c>
      <c r="F34" s="52"/>
      <c r="G34" s="20">
        <v>1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s="20">
        <v>1</v>
      </c>
      <c r="N34" s="21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</row>
    <row r="35" spans="1:44" x14ac:dyDescent="0.3">
      <c r="A35" s="54"/>
      <c r="B35" s="54"/>
      <c r="C35" s="53" t="s">
        <v>72</v>
      </c>
      <c r="D35" s="53"/>
      <c r="E35" s="48" t="s">
        <v>67</v>
      </c>
      <c r="F35" s="48"/>
      <c r="G35" s="20">
        <v>2</v>
      </c>
      <c r="H35" s="20">
        <v>2</v>
      </c>
      <c r="I35" s="20">
        <v>2</v>
      </c>
      <c r="J35" s="20">
        <v>2</v>
      </c>
      <c r="K35" s="20">
        <v>1</v>
      </c>
      <c r="L35" s="20">
        <v>1</v>
      </c>
      <c r="M35" s="20">
        <v>1</v>
      </c>
      <c r="N35" s="21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</row>
    <row r="36" spans="1:44" x14ac:dyDescent="0.3">
      <c r="A36" s="54"/>
      <c r="B36" s="54"/>
      <c r="C36" s="53" t="s">
        <v>73</v>
      </c>
      <c r="D36" s="53"/>
      <c r="E36" s="48" t="s">
        <v>67</v>
      </c>
      <c r="F36" s="48"/>
      <c r="G36" s="20">
        <v>2</v>
      </c>
      <c r="H36" s="20">
        <v>2</v>
      </c>
      <c r="I36" s="20">
        <v>2</v>
      </c>
      <c r="J36" s="20">
        <v>2</v>
      </c>
      <c r="K36" s="20">
        <v>2</v>
      </c>
      <c r="L36" s="20">
        <v>1</v>
      </c>
      <c r="M36" s="20">
        <v>1</v>
      </c>
      <c r="N36" s="21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</row>
    <row r="37" spans="1:44" x14ac:dyDescent="0.3">
      <c r="A37" s="54"/>
      <c r="B37" s="54"/>
      <c r="C37" s="53" t="s">
        <v>74</v>
      </c>
      <c r="D37" s="53"/>
      <c r="E37" s="48" t="s">
        <v>67</v>
      </c>
      <c r="F37" s="48"/>
      <c r="G37" s="20">
        <v>2</v>
      </c>
      <c r="H37" s="20">
        <v>2</v>
      </c>
      <c r="I37" s="20">
        <v>2</v>
      </c>
      <c r="J37" s="20">
        <v>2</v>
      </c>
      <c r="K37" s="20">
        <v>1</v>
      </c>
      <c r="L37" s="20">
        <v>1</v>
      </c>
      <c r="M37" s="20">
        <v>1</v>
      </c>
      <c r="N37" s="21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</row>
    <row r="38" spans="1:44" x14ac:dyDescent="0.3">
      <c r="A38" s="54"/>
      <c r="B38" s="54"/>
      <c r="C38" s="53" t="s">
        <v>75</v>
      </c>
      <c r="D38" s="53"/>
      <c r="E38" s="48" t="s">
        <v>67</v>
      </c>
      <c r="F38" s="48"/>
      <c r="G38" s="20">
        <v>3</v>
      </c>
      <c r="H38" s="20">
        <v>2</v>
      </c>
      <c r="I38" s="20">
        <v>3</v>
      </c>
      <c r="J38" s="20">
        <v>2</v>
      </c>
      <c r="K38" s="20">
        <v>2</v>
      </c>
      <c r="L38" s="20">
        <v>2</v>
      </c>
      <c r="M38" s="20">
        <v>2</v>
      </c>
      <c r="N38" s="20">
        <v>1</v>
      </c>
      <c r="O38" s="20">
        <v>1</v>
      </c>
      <c r="P38" s="21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</row>
    <row r="39" spans="1:44" x14ac:dyDescent="0.3">
      <c r="A39" s="54"/>
      <c r="B39" s="54"/>
      <c r="C39" s="40"/>
      <c r="D39" s="41"/>
      <c r="E39" s="38"/>
      <c r="F39" s="39"/>
      <c r="G39" s="20"/>
      <c r="H39" s="20"/>
      <c r="I39" s="20"/>
      <c r="J39" s="20"/>
      <c r="K39" s="20"/>
      <c r="L39" s="20"/>
      <c r="M39" s="20"/>
      <c r="N39" s="20"/>
      <c r="P39" s="37">
        <v>1</v>
      </c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</row>
    <row r="40" spans="1:44" x14ac:dyDescent="0.3">
      <c r="A40" s="54"/>
      <c r="B40" s="54"/>
      <c r="C40" s="49" t="s">
        <v>76</v>
      </c>
      <c r="D40" s="50"/>
      <c r="E40" s="51" t="s">
        <v>67</v>
      </c>
      <c r="F40" s="52"/>
      <c r="G40" s="20">
        <v>2</v>
      </c>
      <c r="H40" s="20">
        <v>2</v>
      </c>
      <c r="I40" s="20">
        <v>2</v>
      </c>
      <c r="J40" s="20">
        <v>2</v>
      </c>
      <c r="K40" s="20">
        <v>2</v>
      </c>
      <c r="L40" s="20">
        <v>1</v>
      </c>
      <c r="M40" s="20">
        <v>1</v>
      </c>
      <c r="N40" s="20">
        <v>1</v>
      </c>
      <c r="O40" s="21">
        <v>0</v>
      </c>
      <c r="P40" s="36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36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</row>
    <row r="41" spans="1:44" x14ac:dyDescent="0.3">
      <c r="A41" s="54"/>
      <c r="B41" s="54"/>
      <c r="C41" s="53" t="s">
        <v>77</v>
      </c>
      <c r="D41" s="53"/>
      <c r="E41" s="51" t="s">
        <v>67</v>
      </c>
      <c r="F41" s="52"/>
      <c r="G41" s="20">
        <v>3</v>
      </c>
      <c r="H41" s="20">
        <v>2</v>
      </c>
      <c r="I41" s="20">
        <v>3</v>
      </c>
      <c r="J41" s="20">
        <v>3</v>
      </c>
      <c r="K41" s="20">
        <v>2</v>
      </c>
      <c r="L41" s="20">
        <v>2</v>
      </c>
      <c r="M41" s="20">
        <v>2</v>
      </c>
      <c r="N41" s="20">
        <v>1</v>
      </c>
      <c r="O41" s="20">
        <v>1</v>
      </c>
      <c r="P41" s="21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36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</row>
    <row r="42" spans="1:44" x14ac:dyDescent="0.3">
      <c r="A42" s="54"/>
      <c r="B42" s="54"/>
      <c r="C42" s="53"/>
      <c r="D42" s="53"/>
      <c r="E42" s="48"/>
      <c r="F42" s="48"/>
      <c r="G42" s="20"/>
      <c r="H42" s="20"/>
      <c r="I42" s="20"/>
      <c r="J42" s="20"/>
      <c r="K42" s="20"/>
      <c r="L42" s="20"/>
      <c r="M42" s="20"/>
      <c r="N42" s="20"/>
      <c r="P42" s="37">
        <v>1</v>
      </c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</row>
    <row r="43" spans="1:44" x14ac:dyDescent="0.3">
      <c r="A43" s="54"/>
      <c r="B43" s="54"/>
      <c r="C43" s="53" t="s">
        <v>20</v>
      </c>
      <c r="D43" s="53"/>
      <c r="E43" s="48" t="s">
        <v>43</v>
      </c>
      <c r="F43" s="48"/>
      <c r="G43" s="20">
        <v>8</v>
      </c>
      <c r="H43" s="20">
        <v>10</v>
      </c>
      <c r="I43" s="20">
        <v>10</v>
      </c>
      <c r="J43" s="20">
        <v>10</v>
      </c>
      <c r="K43" s="20">
        <v>10</v>
      </c>
      <c r="L43" s="20">
        <v>10</v>
      </c>
      <c r="M43" s="20">
        <v>10</v>
      </c>
      <c r="N43" s="20">
        <v>10</v>
      </c>
      <c r="O43" s="20">
        <v>10</v>
      </c>
      <c r="P43" s="21">
        <v>0</v>
      </c>
      <c r="Q43" s="36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</row>
    <row r="44" spans="1:44" x14ac:dyDescent="0.3">
      <c r="A44" s="54"/>
      <c r="B44" s="54" t="s">
        <v>24</v>
      </c>
      <c r="C44" s="53" t="s">
        <v>78</v>
      </c>
      <c r="D44" s="53"/>
      <c r="E44" s="48" t="s">
        <v>65</v>
      </c>
      <c r="F44" s="48"/>
      <c r="G44" s="20">
        <v>2</v>
      </c>
      <c r="H44" s="20">
        <v>2</v>
      </c>
      <c r="I44" s="20">
        <v>2</v>
      </c>
      <c r="J44" s="20">
        <v>2</v>
      </c>
      <c r="K44" s="20">
        <v>2</v>
      </c>
      <c r="L44" s="20">
        <v>2</v>
      </c>
      <c r="M44" s="20">
        <v>2</v>
      </c>
      <c r="N44" s="20">
        <v>2</v>
      </c>
      <c r="O44" s="20">
        <v>2</v>
      </c>
      <c r="P44" s="20">
        <v>1</v>
      </c>
      <c r="Q44" s="21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</row>
    <row r="45" spans="1:44" x14ac:dyDescent="0.3">
      <c r="A45" s="54"/>
      <c r="B45" s="54"/>
      <c r="C45" s="53" t="s">
        <v>79</v>
      </c>
      <c r="D45" s="53"/>
      <c r="E45" s="48" t="s">
        <v>65</v>
      </c>
      <c r="F45" s="48"/>
      <c r="G45" s="20">
        <v>3</v>
      </c>
      <c r="H45" s="20">
        <v>2</v>
      </c>
      <c r="I45" s="20">
        <v>3</v>
      </c>
      <c r="J45" s="20">
        <v>3</v>
      </c>
      <c r="K45" s="20">
        <v>3</v>
      </c>
      <c r="L45" s="20">
        <v>2</v>
      </c>
      <c r="M45" s="20">
        <v>2</v>
      </c>
      <c r="N45" s="20">
        <v>2</v>
      </c>
      <c r="O45" s="20">
        <v>2</v>
      </c>
      <c r="P45" s="20">
        <v>1</v>
      </c>
      <c r="Q45" s="20">
        <v>1</v>
      </c>
      <c r="R45" s="21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</row>
    <row r="46" spans="1:44" x14ac:dyDescent="0.3">
      <c r="A46" s="54"/>
      <c r="B46" s="54"/>
      <c r="C46" s="51"/>
      <c r="D46" s="52"/>
      <c r="E46" s="51"/>
      <c r="F46" s="52"/>
      <c r="G46" s="20"/>
      <c r="H46" s="20"/>
      <c r="I46" s="20"/>
      <c r="J46" s="20"/>
      <c r="K46" s="20"/>
      <c r="L46" s="20"/>
      <c r="M46" s="20"/>
      <c r="N46" s="20"/>
      <c r="O46" s="20"/>
      <c r="P46" s="20"/>
      <c r="R46" s="23">
        <v>1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</row>
    <row r="47" spans="1:44" x14ac:dyDescent="0.3">
      <c r="A47" s="54"/>
      <c r="B47" s="54"/>
      <c r="C47" s="53" t="s">
        <v>80</v>
      </c>
      <c r="D47" s="53"/>
      <c r="E47" s="48" t="s">
        <v>61</v>
      </c>
      <c r="F47" s="48"/>
      <c r="G47" s="20">
        <v>2</v>
      </c>
      <c r="H47" s="20">
        <v>2</v>
      </c>
      <c r="I47" s="20">
        <v>2</v>
      </c>
      <c r="J47" s="20">
        <v>2</v>
      </c>
      <c r="K47" s="20">
        <v>2</v>
      </c>
      <c r="L47" s="20">
        <v>2</v>
      </c>
      <c r="M47" s="20">
        <v>2</v>
      </c>
      <c r="N47" s="20">
        <v>2</v>
      </c>
      <c r="O47" s="20">
        <v>2</v>
      </c>
      <c r="P47" s="20">
        <v>2</v>
      </c>
      <c r="Q47" s="20">
        <v>1</v>
      </c>
      <c r="R47" s="21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</row>
    <row r="48" spans="1:44" x14ac:dyDescent="0.3">
      <c r="A48" s="54"/>
      <c r="B48" s="54"/>
      <c r="C48" s="53" t="s">
        <v>81</v>
      </c>
      <c r="D48" s="53"/>
      <c r="E48" s="48" t="s">
        <v>61</v>
      </c>
      <c r="F48" s="48"/>
      <c r="G48" s="20">
        <v>2</v>
      </c>
      <c r="H48" s="20">
        <v>2</v>
      </c>
      <c r="I48" s="20">
        <v>2</v>
      </c>
      <c r="J48" s="20">
        <v>2</v>
      </c>
      <c r="K48" s="20">
        <v>2</v>
      </c>
      <c r="L48" s="20">
        <v>2</v>
      </c>
      <c r="M48" s="20">
        <v>2</v>
      </c>
      <c r="N48" s="20">
        <v>2</v>
      </c>
      <c r="O48" s="20">
        <v>2</v>
      </c>
      <c r="P48" s="20">
        <v>2</v>
      </c>
      <c r="Q48" s="20">
        <v>1</v>
      </c>
      <c r="R48" s="21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</row>
    <row r="49" spans="1:44" x14ac:dyDescent="0.3">
      <c r="A49" s="54"/>
      <c r="B49" s="54"/>
      <c r="C49" s="49" t="s">
        <v>82</v>
      </c>
      <c r="D49" s="50"/>
      <c r="E49" s="48" t="s">
        <v>61</v>
      </c>
      <c r="F49" s="48"/>
      <c r="G49" s="20">
        <v>2</v>
      </c>
      <c r="H49" s="20">
        <v>2</v>
      </c>
      <c r="I49" s="20">
        <v>2</v>
      </c>
      <c r="J49" s="20">
        <v>2</v>
      </c>
      <c r="K49" s="20">
        <v>2</v>
      </c>
      <c r="L49" s="20">
        <v>2</v>
      </c>
      <c r="M49" s="20">
        <v>2</v>
      </c>
      <c r="N49" s="20">
        <v>2</v>
      </c>
      <c r="O49" s="20">
        <v>2</v>
      </c>
      <c r="P49" s="20">
        <v>2</v>
      </c>
      <c r="Q49" s="20">
        <v>2</v>
      </c>
      <c r="R49" s="20">
        <v>1</v>
      </c>
      <c r="S49" s="21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</row>
    <row r="50" spans="1:44" x14ac:dyDescent="0.3">
      <c r="A50" s="54"/>
      <c r="B50" s="54"/>
      <c r="C50" s="59" t="s">
        <v>83</v>
      </c>
      <c r="D50" s="59"/>
      <c r="E50" s="48" t="s">
        <v>67</v>
      </c>
      <c r="F50" s="48"/>
      <c r="G50" s="20">
        <v>3</v>
      </c>
      <c r="H50" s="20">
        <v>3</v>
      </c>
      <c r="I50" s="20">
        <v>3</v>
      </c>
      <c r="J50" s="20">
        <v>2</v>
      </c>
      <c r="K50" s="20">
        <v>2</v>
      </c>
      <c r="L50" s="20">
        <v>2</v>
      </c>
      <c r="M50" s="20">
        <v>2</v>
      </c>
      <c r="N50" s="20">
        <v>2</v>
      </c>
      <c r="O50" s="20">
        <v>2</v>
      </c>
      <c r="P50" s="20">
        <v>2</v>
      </c>
      <c r="Q50" s="20">
        <v>2</v>
      </c>
      <c r="R50" s="20">
        <v>1</v>
      </c>
      <c r="S50" s="21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</row>
    <row r="51" spans="1:44" x14ac:dyDescent="0.3">
      <c r="A51" s="54"/>
      <c r="B51" s="54"/>
      <c r="C51" s="53" t="s">
        <v>84</v>
      </c>
      <c r="D51" s="53"/>
      <c r="E51" s="48" t="s">
        <v>67</v>
      </c>
      <c r="F51" s="48"/>
      <c r="G51" s="20">
        <v>3</v>
      </c>
      <c r="H51" s="20">
        <v>3</v>
      </c>
      <c r="I51" s="20">
        <v>3</v>
      </c>
      <c r="J51" s="20">
        <v>2</v>
      </c>
      <c r="K51" s="20">
        <v>2</v>
      </c>
      <c r="L51" s="20">
        <v>2</v>
      </c>
      <c r="M51" s="20">
        <v>2</v>
      </c>
      <c r="N51" s="20">
        <v>2</v>
      </c>
      <c r="O51" s="20">
        <v>2</v>
      </c>
      <c r="P51" s="20">
        <v>2</v>
      </c>
      <c r="Q51" s="20">
        <v>2</v>
      </c>
      <c r="R51" s="20">
        <v>1</v>
      </c>
      <c r="S51" s="21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</row>
    <row r="52" spans="1:44" x14ac:dyDescent="0.3">
      <c r="A52" s="54"/>
      <c r="B52" s="54"/>
      <c r="C52" s="53" t="s">
        <v>85</v>
      </c>
      <c r="D52" s="53"/>
      <c r="E52" s="48" t="s">
        <v>65</v>
      </c>
      <c r="F52" s="48"/>
      <c r="G52" s="20">
        <v>9</v>
      </c>
      <c r="H52" s="20">
        <v>9</v>
      </c>
      <c r="I52" s="20">
        <v>8</v>
      </c>
      <c r="J52" s="20">
        <v>8</v>
      </c>
      <c r="K52" s="20">
        <v>7</v>
      </c>
      <c r="L52" s="20">
        <v>7</v>
      </c>
      <c r="M52" s="20">
        <v>7</v>
      </c>
      <c r="N52" s="20">
        <v>6</v>
      </c>
      <c r="O52" s="20">
        <v>6</v>
      </c>
      <c r="P52" s="20">
        <v>5</v>
      </c>
      <c r="Q52" s="20">
        <v>4</v>
      </c>
      <c r="R52" s="20">
        <v>3</v>
      </c>
      <c r="S52" s="20">
        <v>2</v>
      </c>
      <c r="T52" s="1">
        <v>1</v>
      </c>
      <c r="U52" s="20">
        <v>1</v>
      </c>
      <c r="V52" s="21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</row>
    <row r="53" spans="1:44" x14ac:dyDescent="0.3">
      <c r="A53" s="54"/>
      <c r="B53" s="54"/>
      <c r="C53" s="53" t="s">
        <v>86</v>
      </c>
      <c r="D53" s="53"/>
      <c r="E53" s="48" t="s">
        <v>65</v>
      </c>
      <c r="F53" s="48"/>
      <c r="G53" s="20">
        <v>4</v>
      </c>
      <c r="H53" s="20">
        <v>4</v>
      </c>
      <c r="I53" s="20">
        <v>4</v>
      </c>
      <c r="J53" s="20">
        <v>4</v>
      </c>
      <c r="K53" s="20">
        <v>4</v>
      </c>
      <c r="L53" s="20">
        <v>4</v>
      </c>
      <c r="M53" s="20">
        <v>4</v>
      </c>
      <c r="N53" s="20">
        <v>4</v>
      </c>
      <c r="O53" s="20">
        <v>4</v>
      </c>
      <c r="P53" s="20">
        <v>3</v>
      </c>
      <c r="Q53" s="20">
        <v>3</v>
      </c>
      <c r="R53" s="20">
        <v>3</v>
      </c>
      <c r="S53" s="20">
        <v>3</v>
      </c>
      <c r="T53" s="20">
        <v>2</v>
      </c>
      <c r="U53" s="20">
        <v>2</v>
      </c>
      <c r="V53" s="20">
        <v>2</v>
      </c>
      <c r="W53" s="20">
        <v>1</v>
      </c>
      <c r="X53" s="21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</row>
    <row r="54" spans="1:44" x14ac:dyDescent="0.3">
      <c r="A54" s="54"/>
      <c r="B54" s="54"/>
      <c r="C54" s="53" t="s">
        <v>87</v>
      </c>
      <c r="D54" s="53"/>
      <c r="E54" s="48" t="s">
        <v>61</v>
      </c>
      <c r="F54" s="48"/>
      <c r="G54" s="20">
        <v>5</v>
      </c>
      <c r="H54" s="20">
        <v>5</v>
      </c>
      <c r="I54" s="20">
        <v>5</v>
      </c>
      <c r="J54" s="20">
        <v>5</v>
      </c>
      <c r="K54" s="20">
        <v>5</v>
      </c>
      <c r="L54" s="20">
        <v>4</v>
      </c>
      <c r="M54" s="20">
        <v>4</v>
      </c>
      <c r="N54" s="20">
        <v>4</v>
      </c>
      <c r="O54" s="20">
        <v>4</v>
      </c>
      <c r="P54" s="20">
        <v>3</v>
      </c>
      <c r="Q54" s="20">
        <v>3</v>
      </c>
      <c r="R54" s="20">
        <v>3</v>
      </c>
      <c r="S54" s="20">
        <v>3</v>
      </c>
      <c r="T54" s="20">
        <v>2</v>
      </c>
      <c r="U54" s="20">
        <v>2</v>
      </c>
      <c r="V54" s="20">
        <v>2</v>
      </c>
      <c r="W54" s="20">
        <v>1</v>
      </c>
      <c r="X54" s="20">
        <v>1</v>
      </c>
      <c r="Y54" s="20">
        <v>1</v>
      </c>
      <c r="Z54" s="21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</row>
    <row r="55" spans="1:44" x14ac:dyDescent="0.3">
      <c r="A55" s="54"/>
      <c r="B55" s="54"/>
      <c r="C55" s="53" t="s">
        <v>88</v>
      </c>
      <c r="D55" s="53"/>
      <c r="E55" s="48" t="s">
        <v>61</v>
      </c>
      <c r="F55" s="48"/>
      <c r="G55" s="20">
        <v>5</v>
      </c>
      <c r="H55" s="20">
        <v>5</v>
      </c>
      <c r="I55" s="20">
        <v>5</v>
      </c>
      <c r="J55" s="20">
        <v>5</v>
      </c>
      <c r="K55" s="20">
        <v>5</v>
      </c>
      <c r="L55" s="20">
        <v>5</v>
      </c>
      <c r="M55" s="20">
        <v>5</v>
      </c>
      <c r="N55" s="20">
        <v>4</v>
      </c>
      <c r="O55" s="20">
        <v>4</v>
      </c>
      <c r="P55" s="20">
        <v>4</v>
      </c>
      <c r="Q55" s="20">
        <v>4</v>
      </c>
      <c r="R55" s="20">
        <v>3</v>
      </c>
      <c r="S55" s="20">
        <v>3</v>
      </c>
      <c r="T55" s="20">
        <v>3</v>
      </c>
      <c r="U55" s="20">
        <v>3</v>
      </c>
      <c r="V55" s="20">
        <v>2</v>
      </c>
      <c r="W55" s="20">
        <v>2</v>
      </c>
      <c r="X55" s="20">
        <v>2</v>
      </c>
      <c r="Y55" s="20">
        <v>2</v>
      </c>
      <c r="Z55" s="20">
        <v>1</v>
      </c>
      <c r="AA55" s="20">
        <v>1</v>
      </c>
      <c r="AB55" s="20">
        <v>1</v>
      </c>
      <c r="AC55" s="20">
        <v>1</v>
      </c>
      <c r="AD55" s="20">
        <v>1</v>
      </c>
      <c r="AE55" s="21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</row>
    <row r="56" spans="1:44" x14ac:dyDescent="0.3">
      <c r="A56" s="54"/>
      <c r="B56" s="54"/>
      <c r="C56" s="51"/>
      <c r="D56" s="52"/>
      <c r="E56" s="51"/>
      <c r="F56" s="52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3">
        <v>3</v>
      </c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</row>
    <row r="57" spans="1:44" x14ac:dyDescent="0.3">
      <c r="A57" s="54"/>
      <c r="B57" s="54"/>
      <c r="C57" s="53" t="s">
        <v>89</v>
      </c>
      <c r="D57" s="53"/>
      <c r="E57" s="48" t="s">
        <v>67</v>
      </c>
      <c r="F57" s="48"/>
      <c r="G57" s="20">
        <v>5</v>
      </c>
      <c r="H57" s="20">
        <v>5</v>
      </c>
      <c r="I57" s="20">
        <v>5</v>
      </c>
      <c r="J57" s="20">
        <v>5</v>
      </c>
      <c r="K57" s="20">
        <v>5</v>
      </c>
      <c r="L57" s="20">
        <v>5</v>
      </c>
      <c r="M57" s="20">
        <v>5</v>
      </c>
      <c r="N57" s="20">
        <v>5</v>
      </c>
      <c r="O57" s="20">
        <v>5</v>
      </c>
      <c r="P57" s="20">
        <v>5</v>
      </c>
      <c r="Q57" s="20">
        <v>5</v>
      </c>
      <c r="R57" s="20">
        <v>5</v>
      </c>
      <c r="S57" s="20">
        <v>4</v>
      </c>
      <c r="T57" s="20">
        <v>4</v>
      </c>
      <c r="U57" s="20">
        <v>4</v>
      </c>
      <c r="V57" s="20">
        <v>4</v>
      </c>
      <c r="W57" s="20">
        <v>4</v>
      </c>
      <c r="X57" s="20">
        <v>3</v>
      </c>
      <c r="Y57" s="20">
        <v>3</v>
      </c>
      <c r="Z57" s="20">
        <v>3</v>
      </c>
      <c r="AA57" s="20">
        <v>2</v>
      </c>
      <c r="AB57" s="20">
        <v>2</v>
      </c>
      <c r="AC57" s="20">
        <v>1</v>
      </c>
      <c r="AD57" s="21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</row>
    <row r="58" spans="1:44" x14ac:dyDescent="0.3">
      <c r="A58" s="54"/>
      <c r="B58" s="54"/>
      <c r="C58" s="53" t="s">
        <v>90</v>
      </c>
      <c r="D58" s="53"/>
      <c r="E58" s="48" t="s">
        <v>67</v>
      </c>
      <c r="F58" s="48"/>
      <c r="G58" s="20">
        <v>5</v>
      </c>
      <c r="H58" s="20">
        <v>5</v>
      </c>
      <c r="I58" s="20">
        <v>5</v>
      </c>
      <c r="J58" s="20">
        <v>5</v>
      </c>
      <c r="K58" s="20">
        <v>5</v>
      </c>
      <c r="L58" s="20">
        <v>5</v>
      </c>
      <c r="M58" s="20">
        <v>5</v>
      </c>
      <c r="N58" s="20">
        <v>5</v>
      </c>
      <c r="O58" s="20">
        <v>5</v>
      </c>
      <c r="P58" s="20">
        <v>5</v>
      </c>
      <c r="Q58" s="20">
        <v>5</v>
      </c>
      <c r="R58" s="20">
        <v>5</v>
      </c>
      <c r="S58" s="20">
        <v>4</v>
      </c>
      <c r="T58" s="20">
        <v>4</v>
      </c>
      <c r="U58" s="20">
        <v>4</v>
      </c>
      <c r="V58" s="20">
        <v>4</v>
      </c>
      <c r="W58" s="20">
        <v>4</v>
      </c>
      <c r="X58" s="20">
        <v>3</v>
      </c>
      <c r="Y58" s="20">
        <v>3</v>
      </c>
      <c r="Z58" s="20">
        <v>3</v>
      </c>
      <c r="AA58" s="20">
        <v>2</v>
      </c>
      <c r="AB58" s="20">
        <v>2</v>
      </c>
      <c r="AC58" s="20">
        <v>1</v>
      </c>
      <c r="AD58" s="20">
        <v>1</v>
      </c>
      <c r="AE58" s="21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</row>
    <row r="59" spans="1:44" x14ac:dyDescent="0.3">
      <c r="A59" s="54"/>
      <c r="B59" s="54"/>
      <c r="C59" s="53" t="s">
        <v>91</v>
      </c>
      <c r="D59" s="53"/>
      <c r="E59" s="51" t="s">
        <v>56</v>
      </c>
      <c r="F59" s="52"/>
      <c r="G59" s="20">
        <v>5</v>
      </c>
      <c r="H59" s="20">
        <v>5</v>
      </c>
      <c r="I59" s="20">
        <v>5</v>
      </c>
      <c r="J59" s="20">
        <v>5</v>
      </c>
      <c r="K59" s="20">
        <v>5</v>
      </c>
      <c r="L59" s="20">
        <v>5</v>
      </c>
      <c r="M59" s="20">
        <v>5</v>
      </c>
      <c r="N59" s="20">
        <v>5</v>
      </c>
      <c r="O59" s="20">
        <v>5</v>
      </c>
      <c r="P59" s="20">
        <v>5</v>
      </c>
      <c r="Q59" s="20">
        <v>5</v>
      </c>
      <c r="R59" s="20">
        <v>5</v>
      </c>
      <c r="S59" s="20">
        <v>4</v>
      </c>
      <c r="T59" s="20">
        <v>4</v>
      </c>
      <c r="U59" s="20">
        <v>4</v>
      </c>
      <c r="V59" s="20">
        <v>4</v>
      </c>
      <c r="W59" s="20">
        <v>4</v>
      </c>
      <c r="X59" s="20">
        <v>3</v>
      </c>
      <c r="Y59" s="20">
        <v>3</v>
      </c>
      <c r="Z59" s="20">
        <v>3</v>
      </c>
      <c r="AA59" s="20">
        <v>2</v>
      </c>
      <c r="AB59" s="20">
        <v>2</v>
      </c>
      <c r="AC59" s="20">
        <v>1</v>
      </c>
      <c r="AD59" s="20">
        <v>1</v>
      </c>
      <c r="AE59" s="20">
        <v>1</v>
      </c>
      <c r="AF59" s="21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</row>
    <row r="60" spans="1:44" x14ac:dyDescent="0.3">
      <c r="A60" s="54"/>
      <c r="B60" s="54"/>
      <c r="C60" s="53" t="s">
        <v>92</v>
      </c>
      <c r="D60" s="53"/>
      <c r="E60" s="51" t="s">
        <v>56</v>
      </c>
      <c r="F60" s="52"/>
      <c r="G60" s="20">
        <v>5</v>
      </c>
      <c r="H60" s="20">
        <v>5</v>
      </c>
      <c r="I60" s="20">
        <v>5</v>
      </c>
      <c r="J60" s="20">
        <v>5</v>
      </c>
      <c r="K60" s="20">
        <v>5</v>
      </c>
      <c r="L60" s="20">
        <v>5</v>
      </c>
      <c r="M60" s="20">
        <v>5</v>
      </c>
      <c r="N60" s="20">
        <v>5</v>
      </c>
      <c r="O60" s="20">
        <v>5</v>
      </c>
      <c r="P60" s="20">
        <v>5</v>
      </c>
      <c r="Q60" s="20">
        <v>5</v>
      </c>
      <c r="R60" s="20">
        <v>5</v>
      </c>
      <c r="S60" s="20">
        <v>4</v>
      </c>
      <c r="T60" s="20">
        <v>4</v>
      </c>
      <c r="U60" s="20">
        <v>4</v>
      </c>
      <c r="V60" s="20">
        <v>4</v>
      </c>
      <c r="W60" s="20">
        <v>4</v>
      </c>
      <c r="X60" s="20">
        <v>3</v>
      </c>
      <c r="Y60" s="20">
        <v>3</v>
      </c>
      <c r="Z60" s="20">
        <v>3</v>
      </c>
      <c r="AA60" s="20">
        <v>2</v>
      </c>
      <c r="AB60" s="20">
        <v>2</v>
      </c>
      <c r="AC60" s="20">
        <v>2</v>
      </c>
      <c r="AD60" s="20">
        <v>1</v>
      </c>
      <c r="AE60" s="20">
        <v>1</v>
      </c>
      <c r="AF60" s="21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</row>
    <row r="61" spans="1:44" x14ac:dyDescent="0.3">
      <c r="A61" s="54"/>
      <c r="B61" s="54"/>
      <c r="C61" s="53" t="s">
        <v>93</v>
      </c>
      <c r="D61" s="53"/>
      <c r="E61" s="51" t="s">
        <v>65</v>
      </c>
      <c r="F61" s="52"/>
      <c r="G61" s="20">
        <v>2</v>
      </c>
      <c r="H61" s="20">
        <v>2</v>
      </c>
      <c r="I61" s="20">
        <v>2</v>
      </c>
      <c r="J61" s="20">
        <v>2</v>
      </c>
      <c r="K61" s="20">
        <v>2</v>
      </c>
      <c r="L61" s="20">
        <v>2</v>
      </c>
      <c r="M61" s="20">
        <v>2</v>
      </c>
      <c r="N61" s="20">
        <v>2</v>
      </c>
      <c r="O61" s="20">
        <v>2</v>
      </c>
      <c r="P61" s="20">
        <v>2</v>
      </c>
      <c r="Q61" s="20">
        <v>2</v>
      </c>
      <c r="R61" s="20">
        <v>2</v>
      </c>
      <c r="S61" s="20">
        <v>2</v>
      </c>
      <c r="T61" s="20">
        <v>2</v>
      </c>
      <c r="U61" s="20">
        <v>2</v>
      </c>
      <c r="V61" s="20">
        <v>2</v>
      </c>
      <c r="W61" s="20">
        <v>2</v>
      </c>
      <c r="X61" s="20">
        <v>2</v>
      </c>
      <c r="Y61" s="20">
        <v>2</v>
      </c>
      <c r="Z61" s="20">
        <v>2</v>
      </c>
      <c r="AA61" s="20">
        <v>2</v>
      </c>
      <c r="AB61" s="20">
        <v>2</v>
      </c>
      <c r="AC61" s="20">
        <v>2</v>
      </c>
      <c r="AD61" s="20">
        <v>2</v>
      </c>
      <c r="AE61" s="20">
        <v>1</v>
      </c>
      <c r="AF61" s="20">
        <v>1</v>
      </c>
      <c r="AG61" s="21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</row>
    <row r="62" spans="1:44" x14ac:dyDescent="0.3">
      <c r="A62" s="54"/>
      <c r="B62" s="54"/>
      <c r="C62" s="53" t="s">
        <v>94</v>
      </c>
      <c r="D62" s="53"/>
      <c r="E62" s="51" t="s">
        <v>65</v>
      </c>
      <c r="F62" s="52"/>
      <c r="G62" s="20">
        <v>2</v>
      </c>
      <c r="H62" s="20">
        <v>2</v>
      </c>
      <c r="I62" s="20">
        <v>2</v>
      </c>
      <c r="J62" s="20">
        <v>2</v>
      </c>
      <c r="K62" s="20">
        <v>2</v>
      </c>
      <c r="L62" s="20">
        <v>2</v>
      </c>
      <c r="M62" s="20">
        <v>2</v>
      </c>
      <c r="N62" s="20">
        <v>2</v>
      </c>
      <c r="O62" s="20">
        <v>2</v>
      </c>
      <c r="P62" s="20">
        <v>2</v>
      </c>
      <c r="Q62" s="20">
        <v>2</v>
      </c>
      <c r="R62" s="20">
        <v>2</v>
      </c>
      <c r="S62" s="20">
        <v>2</v>
      </c>
      <c r="T62" s="20">
        <v>2</v>
      </c>
      <c r="U62" s="20">
        <v>2</v>
      </c>
      <c r="V62" s="20">
        <v>2</v>
      </c>
      <c r="W62" s="20">
        <v>2</v>
      </c>
      <c r="X62" s="20">
        <v>2</v>
      </c>
      <c r="Y62" s="20">
        <v>2</v>
      </c>
      <c r="Z62" s="20">
        <v>2</v>
      </c>
      <c r="AA62" s="20">
        <v>2</v>
      </c>
      <c r="AB62" s="20">
        <v>2</v>
      </c>
      <c r="AC62" s="20">
        <v>2</v>
      </c>
      <c r="AD62" s="20">
        <v>2</v>
      </c>
      <c r="AE62" s="20">
        <v>1</v>
      </c>
      <c r="AF62" s="20">
        <v>1</v>
      </c>
      <c r="AG62" s="20">
        <v>1</v>
      </c>
      <c r="AH62" s="21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</row>
    <row r="63" spans="1:44" x14ac:dyDescent="0.3">
      <c r="A63" s="54"/>
      <c r="B63" s="54"/>
      <c r="C63" s="53" t="s">
        <v>23</v>
      </c>
      <c r="D63" s="53"/>
      <c r="E63" s="55" t="s">
        <v>95</v>
      </c>
      <c r="F63" s="55"/>
      <c r="G63" s="20">
        <v>10</v>
      </c>
      <c r="H63" s="20">
        <v>10</v>
      </c>
      <c r="I63" s="20">
        <v>10</v>
      </c>
      <c r="J63" s="20">
        <v>10</v>
      </c>
      <c r="K63" s="20">
        <v>10</v>
      </c>
      <c r="L63" s="20">
        <v>10</v>
      </c>
      <c r="M63" s="20">
        <v>10</v>
      </c>
      <c r="N63" s="20">
        <v>10</v>
      </c>
      <c r="O63" s="20">
        <v>10</v>
      </c>
      <c r="P63" s="20">
        <v>10</v>
      </c>
      <c r="Q63" s="20">
        <v>10</v>
      </c>
      <c r="R63" s="20">
        <v>10</v>
      </c>
      <c r="S63" s="20">
        <v>10</v>
      </c>
      <c r="T63" s="20">
        <v>10</v>
      </c>
      <c r="U63" s="20">
        <v>10</v>
      </c>
      <c r="V63" s="20">
        <v>10</v>
      </c>
      <c r="W63" s="20">
        <v>10</v>
      </c>
      <c r="X63" s="20">
        <v>10</v>
      </c>
      <c r="Y63" s="20">
        <v>10</v>
      </c>
      <c r="Z63" s="20">
        <v>10</v>
      </c>
      <c r="AA63" s="20">
        <v>10</v>
      </c>
      <c r="AB63" s="20">
        <v>10</v>
      </c>
      <c r="AC63" s="20">
        <v>10</v>
      </c>
      <c r="AD63" s="20">
        <v>10</v>
      </c>
      <c r="AE63" s="20">
        <v>10</v>
      </c>
      <c r="AF63" s="20">
        <v>10</v>
      </c>
      <c r="AG63" s="20">
        <v>8</v>
      </c>
      <c r="AH63" s="21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</row>
    <row r="64" spans="1:44" x14ac:dyDescent="0.3">
      <c r="A64" s="54"/>
      <c r="B64" s="54"/>
      <c r="C64" s="48"/>
      <c r="D64" s="48"/>
      <c r="E64" s="48"/>
      <c r="F64" s="48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2">
        <v>2</v>
      </c>
      <c r="AI64" s="20"/>
      <c r="AJ64" s="20"/>
      <c r="AK64" s="20"/>
      <c r="AL64" s="20"/>
      <c r="AM64" s="20"/>
      <c r="AN64" s="20"/>
      <c r="AO64" s="20"/>
      <c r="AP64" s="20"/>
      <c r="AQ64" s="20"/>
      <c r="AR64" s="20"/>
    </row>
    <row r="65" spans="1:44" x14ac:dyDescent="0.3">
      <c r="A65" s="54"/>
      <c r="B65" s="66" t="s">
        <v>27</v>
      </c>
      <c r="C65" s="53" t="s">
        <v>25</v>
      </c>
      <c r="D65" s="53"/>
      <c r="E65" s="48" t="s">
        <v>67</v>
      </c>
      <c r="F65" s="48"/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0">
        <v>1</v>
      </c>
      <c r="AA65" s="20">
        <v>1</v>
      </c>
      <c r="AB65" s="20">
        <v>1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20">
        <v>1</v>
      </c>
      <c r="AJ65" s="21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</row>
    <row r="66" spans="1:44" x14ac:dyDescent="0.3">
      <c r="A66" s="54"/>
      <c r="B66" s="67"/>
      <c r="C66" s="53" t="s">
        <v>96</v>
      </c>
      <c r="D66" s="53"/>
      <c r="E66" s="48" t="s">
        <v>67</v>
      </c>
      <c r="F66" s="48"/>
      <c r="G66" s="20">
        <v>1</v>
      </c>
      <c r="H66" s="20">
        <v>1</v>
      </c>
      <c r="I66" s="20">
        <v>1</v>
      </c>
      <c r="J66" s="20">
        <v>1</v>
      </c>
      <c r="K66" s="20">
        <v>1</v>
      </c>
      <c r="L66" s="20">
        <v>1</v>
      </c>
      <c r="M66" s="20">
        <v>1</v>
      </c>
      <c r="N66" s="20">
        <v>1</v>
      </c>
      <c r="O66" s="20">
        <v>1</v>
      </c>
      <c r="P66" s="20">
        <v>1</v>
      </c>
      <c r="Q66" s="20">
        <v>1</v>
      </c>
      <c r="R66" s="20">
        <v>1</v>
      </c>
      <c r="S66" s="20">
        <v>1</v>
      </c>
      <c r="T66" s="20">
        <v>1</v>
      </c>
      <c r="U66" s="20">
        <v>1</v>
      </c>
      <c r="V66" s="20">
        <v>1</v>
      </c>
      <c r="W66" s="20">
        <v>1</v>
      </c>
      <c r="X66" s="20">
        <v>1</v>
      </c>
      <c r="Y66" s="20">
        <v>1</v>
      </c>
      <c r="Z66" s="20">
        <v>1</v>
      </c>
      <c r="AA66" s="20">
        <v>1</v>
      </c>
      <c r="AB66" s="20">
        <v>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20">
        <v>1</v>
      </c>
      <c r="AJ66" s="21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</row>
    <row r="67" spans="1:44" x14ac:dyDescent="0.3">
      <c r="A67" s="54"/>
      <c r="B67" s="67"/>
      <c r="C67" s="53" t="s">
        <v>57</v>
      </c>
      <c r="D67" s="53"/>
      <c r="E67" s="48" t="s">
        <v>67</v>
      </c>
      <c r="F67" s="48"/>
      <c r="G67" s="20">
        <v>1</v>
      </c>
      <c r="H67" s="20">
        <v>1</v>
      </c>
      <c r="I67" s="20">
        <v>1</v>
      </c>
      <c r="J67" s="20">
        <v>1</v>
      </c>
      <c r="K67" s="20">
        <v>1</v>
      </c>
      <c r="L67" s="20">
        <v>1</v>
      </c>
      <c r="M67" s="20">
        <v>1</v>
      </c>
      <c r="N67" s="20">
        <v>1</v>
      </c>
      <c r="O67" s="20">
        <v>1</v>
      </c>
      <c r="P67" s="20">
        <v>1</v>
      </c>
      <c r="Q67" s="20">
        <v>1</v>
      </c>
      <c r="R67" s="20">
        <v>1</v>
      </c>
      <c r="S67" s="20">
        <v>1</v>
      </c>
      <c r="T67" s="20">
        <v>1</v>
      </c>
      <c r="U67" s="20">
        <v>1</v>
      </c>
      <c r="V67" s="20">
        <v>1</v>
      </c>
      <c r="W67" s="20">
        <v>1</v>
      </c>
      <c r="X67" s="20">
        <v>1</v>
      </c>
      <c r="Y67" s="20">
        <v>1</v>
      </c>
      <c r="Z67" s="20">
        <v>1</v>
      </c>
      <c r="AA67" s="20">
        <v>1</v>
      </c>
      <c r="AB67" s="20">
        <v>1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20">
        <v>1</v>
      </c>
      <c r="AJ67" s="21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</row>
    <row r="68" spans="1:44" x14ac:dyDescent="0.3">
      <c r="A68" s="54"/>
      <c r="B68" s="67"/>
      <c r="C68" s="53" t="s">
        <v>97</v>
      </c>
      <c r="D68" s="53"/>
      <c r="E68" s="48" t="s">
        <v>67</v>
      </c>
      <c r="F68" s="48"/>
      <c r="G68" s="20">
        <v>1</v>
      </c>
      <c r="H68" s="20">
        <v>1</v>
      </c>
      <c r="I68" s="20">
        <v>1</v>
      </c>
      <c r="J68" s="20">
        <v>1</v>
      </c>
      <c r="K68" s="20">
        <v>1</v>
      </c>
      <c r="L68" s="20">
        <v>1</v>
      </c>
      <c r="M68" s="20">
        <v>1</v>
      </c>
      <c r="N68" s="20">
        <v>1</v>
      </c>
      <c r="O68" s="20">
        <v>1</v>
      </c>
      <c r="P68" s="20">
        <v>1</v>
      </c>
      <c r="Q68" s="20">
        <v>1</v>
      </c>
      <c r="R68" s="20">
        <v>1</v>
      </c>
      <c r="S68" s="20">
        <v>1</v>
      </c>
      <c r="T68" s="20">
        <v>1</v>
      </c>
      <c r="U68" s="20">
        <v>1</v>
      </c>
      <c r="V68" s="20">
        <v>1</v>
      </c>
      <c r="W68" s="20">
        <v>1</v>
      </c>
      <c r="X68" s="20">
        <v>1</v>
      </c>
      <c r="Y68" s="20">
        <v>1</v>
      </c>
      <c r="Z68" s="20">
        <v>1</v>
      </c>
      <c r="AA68" s="20">
        <v>1</v>
      </c>
      <c r="AB68" s="20">
        <v>1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20">
        <v>1</v>
      </c>
      <c r="AJ68" s="21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</row>
    <row r="69" spans="1:44" x14ac:dyDescent="0.3">
      <c r="A69" s="54"/>
      <c r="B69" s="67"/>
      <c r="C69" s="53" t="s">
        <v>26</v>
      </c>
      <c r="D69" s="53"/>
      <c r="E69" s="48" t="s">
        <v>67</v>
      </c>
      <c r="F69" s="48"/>
      <c r="G69" s="20">
        <v>1</v>
      </c>
      <c r="H69" s="20">
        <v>1</v>
      </c>
      <c r="I69" s="20">
        <v>1</v>
      </c>
      <c r="J69" s="20">
        <v>1</v>
      </c>
      <c r="K69" s="20">
        <v>1</v>
      </c>
      <c r="L69" s="20">
        <v>1</v>
      </c>
      <c r="M69" s="20">
        <v>1</v>
      </c>
      <c r="N69" s="20">
        <v>1</v>
      </c>
      <c r="O69" s="20">
        <v>1</v>
      </c>
      <c r="P69" s="20">
        <v>1</v>
      </c>
      <c r="Q69" s="20">
        <v>1</v>
      </c>
      <c r="R69" s="20">
        <v>1</v>
      </c>
      <c r="S69" s="20">
        <v>1</v>
      </c>
      <c r="T69" s="20">
        <v>1</v>
      </c>
      <c r="U69" s="20">
        <v>1</v>
      </c>
      <c r="V69" s="20">
        <v>1</v>
      </c>
      <c r="W69" s="20">
        <v>1</v>
      </c>
      <c r="X69" s="20">
        <v>1</v>
      </c>
      <c r="Y69" s="20">
        <v>1</v>
      </c>
      <c r="Z69" s="20">
        <v>1</v>
      </c>
      <c r="AA69" s="20">
        <v>1</v>
      </c>
      <c r="AB69" s="20">
        <v>1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20">
        <v>1</v>
      </c>
      <c r="AJ69" s="21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</row>
    <row r="70" spans="1:44" x14ac:dyDescent="0.3">
      <c r="A70" s="54"/>
      <c r="B70" s="67"/>
      <c r="C70" s="53" t="s">
        <v>98</v>
      </c>
      <c r="D70" s="53"/>
      <c r="E70" s="48" t="s">
        <v>67</v>
      </c>
      <c r="F70" s="48"/>
      <c r="G70" s="20">
        <v>1</v>
      </c>
      <c r="H70" s="20">
        <v>1</v>
      </c>
      <c r="I70" s="20">
        <v>1</v>
      </c>
      <c r="J70" s="20">
        <v>1</v>
      </c>
      <c r="K70" s="20">
        <v>1</v>
      </c>
      <c r="L70" s="20">
        <v>1</v>
      </c>
      <c r="M70" s="20">
        <v>1</v>
      </c>
      <c r="N70" s="20">
        <v>1</v>
      </c>
      <c r="O70" s="20">
        <v>1</v>
      </c>
      <c r="P70" s="20">
        <v>1</v>
      </c>
      <c r="Q70" s="20">
        <v>1</v>
      </c>
      <c r="R70" s="20">
        <v>1</v>
      </c>
      <c r="S70" s="20">
        <v>1</v>
      </c>
      <c r="T70" s="20">
        <v>1</v>
      </c>
      <c r="U70" s="20">
        <v>1</v>
      </c>
      <c r="V70" s="20">
        <v>1</v>
      </c>
      <c r="W70" s="20">
        <v>1</v>
      </c>
      <c r="X70" s="20">
        <v>1</v>
      </c>
      <c r="Y70" s="20">
        <v>1</v>
      </c>
      <c r="Z70" s="20">
        <v>1</v>
      </c>
      <c r="AA70" s="20">
        <v>1</v>
      </c>
      <c r="AB70" s="20">
        <v>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20">
        <v>1</v>
      </c>
      <c r="AJ70" s="20">
        <v>1</v>
      </c>
      <c r="AK70" s="21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</row>
    <row r="71" spans="1:44" x14ac:dyDescent="0.3">
      <c r="A71" s="54"/>
      <c r="B71" s="67"/>
      <c r="C71" s="49" t="s">
        <v>99</v>
      </c>
      <c r="D71" s="50"/>
      <c r="E71" s="51" t="s">
        <v>56</v>
      </c>
      <c r="F71" s="52"/>
      <c r="G71" s="20">
        <v>1</v>
      </c>
      <c r="H71" s="20">
        <v>1</v>
      </c>
      <c r="I71" s="20">
        <v>1</v>
      </c>
      <c r="J71" s="20">
        <v>1</v>
      </c>
      <c r="K71" s="20">
        <v>1</v>
      </c>
      <c r="L71" s="20">
        <v>1</v>
      </c>
      <c r="M71" s="20">
        <v>1</v>
      </c>
      <c r="N71" s="20">
        <v>1</v>
      </c>
      <c r="O71" s="20">
        <v>1</v>
      </c>
      <c r="P71" s="20">
        <v>1</v>
      </c>
      <c r="Q71" s="20">
        <v>1</v>
      </c>
      <c r="R71" s="20">
        <v>1</v>
      </c>
      <c r="S71" s="20">
        <v>1</v>
      </c>
      <c r="T71" s="20">
        <v>1</v>
      </c>
      <c r="U71" s="20">
        <v>1</v>
      </c>
      <c r="V71" s="20">
        <v>1</v>
      </c>
      <c r="W71" s="20">
        <v>1</v>
      </c>
      <c r="X71" s="20">
        <v>1</v>
      </c>
      <c r="Y71" s="20">
        <v>1</v>
      </c>
      <c r="Z71" s="20">
        <v>1</v>
      </c>
      <c r="AA71" s="20">
        <v>1</v>
      </c>
      <c r="AB71" s="20">
        <v>1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20">
        <v>1</v>
      </c>
      <c r="AJ71" s="20">
        <v>1</v>
      </c>
      <c r="AK71" s="21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</row>
    <row r="72" spans="1:44" x14ac:dyDescent="0.3">
      <c r="A72" s="54"/>
      <c r="B72" s="67"/>
      <c r="C72" s="49" t="s">
        <v>100</v>
      </c>
      <c r="D72" s="50"/>
      <c r="E72" s="51" t="s">
        <v>56</v>
      </c>
      <c r="F72" s="52"/>
      <c r="G72" s="20">
        <v>1</v>
      </c>
      <c r="H72" s="20">
        <v>1</v>
      </c>
      <c r="I72" s="20">
        <v>1</v>
      </c>
      <c r="J72" s="20">
        <v>1</v>
      </c>
      <c r="K72" s="20">
        <v>1</v>
      </c>
      <c r="L72" s="20">
        <v>1</v>
      </c>
      <c r="M72" s="20">
        <v>1</v>
      </c>
      <c r="N72" s="20">
        <v>1</v>
      </c>
      <c r="O72" s="20">
        <v>1</v>
      </c>
      <c r="P72" s="20">
        <v>1</v>
      </c>
      <c r="Q72" s="20">
        <v>1</v>
      </c>
      <c r="R72" s="20">
        <v>1</v>
      </c>
      <c r="S72" s="20">
        <v>1</v>
      </c>
      <c r="T72" s="20">
        <v>1</v>
      </c>
      <c r="U72" s="20">
        <v>1</v>
      </c>
      <c r="V72" s="20">
        <v>1</v>
      </c>
      <c r="W72" s="20">
        <v>1</v>
      </c>
      <c r="X72" s="20">
        <v>1</v>
      </c>
      <c r="Y72" s="20">
        <v>1</v>
      </c>
      <c r="Z72" s="20">
        <v>1</v>
      </c>
      <c r="AA72" s="20">
        <v>1</v>
      </c>
      <c r="AB72" s="20">
        <v>1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20">
        <v>1</v>
      </c>
      <c r="AJ72" s="20">
        <v>1</v>
      </c>
      <c r="AK72" s="21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</row>
    <row r="73" spans="1:44" x14ac:dyDescent="0.3">
      <c r="A73" s="54"/>
      <c r="B73" s="67"/>
      <c r="C73" s="53" t="s">
        <v>101</v>
      </c>
      <c r="D73" s="53"/>
      <c r="E73" s="51" t="s">
        <v>56</v>
      </c>
      <c r="F73" s="52"/>
      <c r="G73" s="20">
        <v>1</v>
      </c>
      <c r="H73" s="20">
        <v>1</v>
      </c>
      <c r="I73" s="20">
        <v>1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20">
        <v>1</v>
      </c>
      <c r="Q73" s="20">
        <v>1</v>
      </c>
      <c r="R73" s="20">
        <v>1</v>
      </c>
      <c r="S73" s="20">
        <v>1</v>
      </c>
      <c r="T73" s="20">
        <v>1</v>
      </c>
      <c r="U73" s="20">
        <v>1</v>
      </c>
      <c r="V73" s="20">
        <v>1</v>
      </c>
      <c r="W73" s="20">
        <v>1</v>
      </c>
      <c r="X73" s="20">
        <v>1</v>
      </c>
      <c r="Y73" s="20">
        <v>1</v>
      </c>
      <c r="Z73" s="20">
        <v>1</v>
      </c>
      <c r="AA73" s="20">
        <v>1</v>
      </c>
      <c r="AB73" s="20">
        <v>1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20">
        <v>1</v>
      </c>
      <c r="AJ73" s="20">
        <v>1</v>
      </c>
      <c r="AK73" s="20">
        <v>1</v>
      </c>
      <c r="AL73" s="21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</row>
    <row r="74" spans="1:44" x14ac:dyDescent="0.3">
      <c r="A74" s="54"/>
      <c r="B74" s="68"/>
      <c r="C74" s="49" t="s">
        <v>102</v>
      </c>
      <c r="D74" s="50"/>
      <c r="E74" s="51" t="s">
        <v>56</v>
      </c>
      <c r="F74" s="52"/>
      <c r="G74" s="20">
        <v>1</v>
      </c>
      <c r="H74" s="20">
        <v>1</v>
      </c>
      <c r="I74" s="20">
        <v>1</v>
      </c>
      <c r="J74" s="20">
        <v>1</v>
      </c>
      <c r="K74" s="20">
        <v>1</v>
      </c>
      <c r="L74" s="20">
        <v>1</v>
      </c>
      <c r="M74" s="20">
        <v>1</v>
      </c>
      <c r="N74" s="20">
        <v>1</v>
      </c>
      <c r="O74" s="20">
        <v>1</v>
      </c>
      <c r="P74" s="20">
        <v>1</v>
      </c>
      <c r="Q74" s="20">
        <v>1</v>
      </c>
      <c r="R74" s="20">
        <v>1</v>
      </c>
      <c r="S74" s="20">
        <v>1</v>
      </c>
      <c r="T74" s="20">
        <v>1</v>
      </c>
      <c r="U74" s="20">
        <v>1</v>
      </c>
      <c r="V74" s="20">
        <v>1</v>
      </c>
      <c r="W74" s="20">
        <v>1</v>
      </c>
      <c r="X74" s="20">
        <v>1</v>
      </c>
      <c r="Y74" s="20">
        <v>1</v>
      </c>
      <c r="Z74" s="20">
        <v>1</v>
      </c>
      <c r="AA74" s="20">
        <v>1</v>
      </c>
      <c r="AB74" s="20">
        <v>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20">
        <v>1</v>
      </c>
      <c r="AJ74" s="20">
        <v>1</v>
      </c>
      <c r="AK74" s="20">
        <v>1</v>
      </c>
      <c r="AL74" s="21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</row>
    <row r="75" spans="1:44" x14ac:dyDescent="0.3">
      <c r="A75" s="54"/>
      <c r="B75" s="54" t="s">
        <v>29</v>
      </c>
      <c r="C75" s="53" t="s">
        <v>28</v>
      </c>
      <c r="D75" s="53"/>
      <c r="E75" s="48" t="s">
        <v>103</v>
      </c>
      <c r="F75" s="48"/>
      <c r="G75" s="20">
        <v>1</v>
      </c>
      <c r="H75" s="20">
        <v>1</v>
      </c>
      <c r="I75" s="20">
        <v>1</v>
      </c>
      <c r="J75" s="20">
        <v>1</v>
      </c>
      <c r="K75" s="20">
        <v>1</v>
      </c>
      <c r="L75" s="20">
        <v>1</v>
      </c>
      <c r="M75" s="20">
        <v>1</v>
      </c>
      <c r="N75" s="20">
        <v>1</v>
      </c>
      <c r="O75" s="20">
        <v>1</v>
      </c>
      <c r="P75" s="20">
        <v>1</v>
      </c>
      <c r="Q75" s="20">
        <v>1</v>
      </c>
      <c r="R75" s="20">
        <v>1</v>
      </c>
      <c r="S75" s="20">
        <v>1</v>
      </c>
      <c r="T75" s="20">
        <v>1</v>
      </c>
      <c r="U75" s="20">
        <v>1</v>
      </c>
      <c r="V75" s="20">
        <v>1</v>
      </c>
      <c r="W75" s="20">
        <v>1</v>
      </c>
      <c r="X75" s="20">
        <v>1</v>
      </c>
      <c r="Y75" s="20">
        <v>1</v>
      </c>
      <c r="Z75" s="20">
        <v>1</v>
      </c>
      <c r="AA75" s="20">
        <v>1</v>
      </c>
      <c r="AB75" s="20">
        <v>1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20">
        <v>1</v>
      </c>
      <c r="AJ75" s="20">
        <v>1</v>
      </c>
      <c r="AK75" s="20">
        <v>1</v>
      </c>
      <c r="AL75" s="20">
        <v>1</v>
      </c>
      <c r="AM75" s="21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</row>
    <row r="76" spans="1:44" x14ac:dyDescent="0.3">
      <c r="A76" s="54"/>
      <c r="B76" s="54"/>
      <c r="C76" s="53" t="s">
        <v>104</v>
      </c>
      <c r="D76" s="53"/>
      <c r="E76" s="48" t="s">
        <v>103</v>
      </c>
      <c r="F76" s="48"/>
      <c r="G76" s="20">
        <v>1</v>
      </c>
      <c r="H76" s="20">
        <v>1</v>
      </c>
      <c r="I76" s="20">
        <v>1</v>
      </c>
      <c r="J76" s="20">
        <v>1</v>
      </c>
      <c r="K76" s="20">
        <v>1</v>
      </c>
      <c r="L76" s="20">
        <v>1</v>
      </c>
      <c r="M76" s="20">
        <v>1</v>
      </c>
      <c r="N76" s="20">
        <v>1</v>
      </c>
      <c r="O76" s="20">
        <v>1</v>
      </c>
      <c r="P76" s="20">
        <v>1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>
        <v>1</v>
      </c>
      <c r="X76" s="20">
        <v>1</v>
      </c>
      <c r="Y76" s="20">
        <v>1</v>
      </c>
      <c r="Z76" s="20">
        <v>1</v>
      </c>
      <c r="AA76" s="20">
        <v>1</v>
      </c>
      <c r="AB76" s="20">
        <v>1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20">
        <v>1</v>
      </c>
      <c r="AJ76" s="20">
        <v>1</v>
      </c>
      <c r="AK76" s="20">
        <v>1</v>
      </c>
      <c r="AL76" s="20">
        <v>1</v>
      </c>
      <c r="AM76" s="21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</row>
    <row r="77" spans="1:44" x14ac:dyDescent="0.3">
      <c r="A77" s="54"/>
      <c r="B77" s="54"/>
      <c r="C77" s="53" t="s">
        <v>58</v>
      </c>
      <c r="D77" s="53"/>
      <c r="E77" s="48" t="s">
        <v>103</v>
      </c>
      <c r="F77" s="48"/>
      <c r="G77" s="20">
        <v>1</v>
      </c>
      <c r="H77" s="20">
        <v>1</v>
      </c>
      <c r="I77" s="20">
        <v>1</v>
      </c>
      <c r="J77" s="20">
        <v>1</v>
      </c>
      <c r="K77" s="20">
        <v>1</v>
      </c>
      <c r="L77" s="20">
        <v>1</v>
      </c>
      <c r="M77" s="20">
        <v>1</v>
      </c>
      <c r="N77" s="20">
        <v>1</v>
      </c>
      <c r="O77" s="20">
        <v>1</v>
      </c>
      <c r="P77" s="20">
        <v>1</v>
      </c>
      <c r="Q77" s="20">
        <v>1</v>
      </c>
      <c r="R77" s="20">
        <v>1</v>
      </c>
      <c r="S77" s="20">
        <v>1</v>
      </c>
      <c r="T77" s="20">
        <v>1</v>
      </c>
      <c r="U77" s="20">
        <v>1</v>
      </c>
      <c r="V77" s="20">
        <v>1</v>
      </c>
      <c r="W77" s="20">
        <v>1</v>
      </c>
      <c r="X77" s="20">
        <v>1</v>
      </c>
      <c r="Y77" s="20">
        <v>1</v>
      </c>
      <c r="Z77" s="20">
        <v>1</v>
      </c>
      <c r="AA77" s="20">
        <v>1</v>
      </c>
      <c r="AB77" s="20">
        <v>1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20">
        <v>1</v>
      </c>
      <c r="AJ77" s="20">
        <v>1</v>
      </c>
      <c r="AK77" s="20">
        <v>1</v>
      </c>
      <c r="AL77" s="20">
        <v>1</v>
      </c>
      <c r="AM77" s="21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</row>
    <row r="78" spans="1:44" x14ac:dyDescent="0.3">
      <c r="A78" s="54"/>
      <c r="B78" s="54"/>
      <c r="C78" s="53" t="s">
        <v>105</v>
      </c>
      <c r="D78" s="53"/>
      <c r="E78" s="48" t="s">
        <v>103</v>
      </c>
      <c r="F78" s="48"/>
      <c r="G78" s="20">
        <v>2</v>
      </c>
      <c r="H78" s="20">
        <v>2</v>
      </c>
      <c r="I78" s="20">
        <v>2</v>
      </c>
      <c r="J78" s="20">
        <v>2</v>
      </c>
      <c r="K78" s="20">
        <v>2</v>
      </c>
      <c r="L78" s="20">
        <v>2</v>
      </c>
      <c r="M78" s="20">
        <v>2</v>
      </c>
      <c r="N78" s="20">
        <v>2</v>
      </c>
      <c r="O78" s="20">
        <v>2</v>
      </c>
      <c r="P78" s="20">
        <v>2</v>
      </c>
      <c r="Q78" s="20">
        <v>2</v>
      </c>
      <c r="R78" s="20">
        <v>2</v>
      </c>
      <c r="S78" s="20">
        <v>2</v>
      </c>
      <c r="T78" s="20">
        <v>2</v>
      </c>
      <c r="U78" s="20">
        <v>2</v>
      </c>
      <c r="V78" s="20">
        <v>2</v>
      </c>
      <c r="W78" s="20">
        <v>2</v>
      </c>
      <c r="X78" s="20">
        <v>2</v>
      </c>
      <c r="Y78" s="20">
        <v>2</v>
      </c>
      <c r="Z78" s="20">
        <v>2</v>
      </c>
      <c r="AA78" s="20">
        <v>1</v>
      </c>
      <c r="AB78" s="20">
        <v>1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20">
        <v>1</v>
      </c>
      <c r="AJ78" s="20">
        <v>1</v>
      </c>
      <c r="AK78" s="20">
        <v>1</v>
      </c>
      <c r="AL78" s="20">
        <v>1</v>
      </c>
      <c r="AM78" s="21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</row>
    <row r="79" spans="1:44" x14ac:dyDescent="0.3">
      <c r="A79" s="54"/>
      <c r="B79" s="54"/>
      <c r="C79" s="53" t="s">
        <v>106</v>
      </c>
      <c r="D79" s="53"/>
      <c r="E79" s="48" t="s">
        <v>103</v>
      </c>
      <c r="F79" s="48"/>
      <c r="G79" s="20">
        <v>2</v>
      </c>
      <c r="H79" s="20">
        <v>2</v>
      </c>
      <c r="I79" s="20">
        <v>2</v>
      </c>
      <c r="J79" s="20">
        <v>2</v>
      </c>
      <c r="K79" s="20">
        <v>2</v>
      </c>
      <c r="L79" s="20">
        <v>2</v>
      </c>
      <c r="M79" s="20">
        <v>2</v>
      </c>
      <c r="N79" s="20">
        <v>2</v>
      </c>
      <c r="O79" s="20">
        <v>2</v>
      </c>
      <c r="P79" s="20">
        <v>2</v>
      </c>
      <c r="Q79" s="20">
        <v>2</v>
      </c>
      <c r="R79" s="20">
        <v>2</v>
      </c>
      <c r="S79" s="20">
        <v>2</v>
      </c>
      <c r="T79" s="20">
        <v>2</v>
      </c>
      <c r="U79" s="20">
        <v>2</v>
      </c>
      <c r="V79" s="20">
        <v>2</v>
      </c>
      <c r="W79" s="20">
        <v>2</v>
      </c>
      <c r="X79" s="20">
        <v>2</v>
      </c>
      <c r="Y79" s="20">
        <v>2</v>
      </c>
      <c r="Z79" s="20">
        <v>2</v>
      </c>
      <c r="AA79" s="20">
        <v>2</v>
      </c>
      <c r="AB79" s="20">
        <v>2</v>
      </c>
      <c r="AC79" s="20">
        <v>2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20">
        <v>1</v>
      </c>
      <c r="AJ79" s="20">
        <v>1</v>
      </c>
      <c r="AK79" s="20">
        <v>1</v>
      </c>
      <c r="AL79" s="20">
        <v>1</v>
      </c>
      <c r="AM79" s="21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</row>
    <row r="80" spans="1:44" x14ac:dyDescent="0.3">
      <c r="A80" s="54"/>
      <c r="B80" s="54"/>
      <c r="C80" s="56" t="s">
        <v>107</v>
      </c>
      <c r="D80" s="57"/>
      <c r="E80" s="48" t="s">
        <v>103</v>
      </c>
      <c r="F80" s="48"/>
      <c r="G80" s="20">
        <v>2</v>
      </c>
      <c r="H80" s="20">
        <v>2</v>
      </c>
      <c r="I80" s="20">
        <v>2</v>
      </c>
      <c r="J80" s="20">
        <v>2</v>
      </c>
      <c r="K80" s="20">
        <v>2</v>
      </c>
      <c r="L80" s="20">
        <v>2</v>
      </c>
      <c r="M80" s="20">
        <v>2</v>
      </c>
      <c r="N80" s="20">
        <v>2</v>
      </c>
      <c r="O80" s="20">
        <v>2</v>
      </c>
      <c r="P80" s="20">
        <v>2</v>
      </c>
      <c r="Q80" s="20">
        <v>2</v>
      </c>
      <c r="R80" s="20">
        <v>2</v>
      </c>
      <c r="S80" s="20">
        <v>2</v>
      </c>
      <c r="T80" s="20">
        <v>2</v>
      </c>
      <c r="U80" s="20">
        <v>2</v>
      </c>
      <c r="V80" s="20">
        <v>2</v>
      </c>
      <c r="W80" s="20">
        <v>2</v>
      </c>
      <c r="X80" s="20">
        <v>2</v>
      </c>
      <c r="Y80" s="20">
        <v>2</v>
      </c>
      <c r="Z80" s="20">
        <v>2</v>
      </c>
      <c r="AA80" s="20">
        <v>2</v>
      </c>
      <c r="AB80" s="20">
        <v>2</v>
      </c>
      <c r="AC80" s="20">
        <v>2</v>
      </c>
      <c r="AD80" s="20">
        <v>2</v>
      </c>
      <c r="AE80" s="20">
        <v>2</v>
      </c>
      <c r="AF80" s="20">
        <v>2</v>
      </c>
      <c r="AG80" s="20">
        <v>2</v>
      </c>
      <c r="AH80" s="20">
        <v>2</v>
      </c>
      <c r="AI80" s="20">
        <v>1</v>
      </c>
      <c r="AJ80" s="20">
        <v>1</v>
      </c>
      <c r="AK80" s="20">
        <v>1</v>
      </c>
      <c r="AL80" s="20">
        <v>1</v>
      </c>
      <c r="AM80" s="20">
        <v>1</v>
      </c>
      <c r="AN80" s="21">
        <v>0</v>
      </c>
      <c r="AO80" s="20">
        <v>0</v>
      </c>
      <c r="AP80" s="20">
        <v>0</v>
      </c>
      <c r="AQ80" s="20">
        <v>0</v>
      </c>
      <c r="AR80" s="20">
        <v>0</v>
      </c>
    </row>
    <row r="81" spans="1:44" x14ac:dyDescent="0.3">
      <c r="A81" s="54"/>
      <c r="B81" s="54"/>
      <c r="C81" s="56" t="s">
        <v>108</v>
      </c>
      <c r="D81" s="57"/>
      <c r="E81" s="48" t="s">
        <v>103</v>
      </c>
      <c r="F81" s="48"/>
      <c r="G81" s="20">
        <v>1</v>
      </c>
      <c r="H81" s="20">
        <v>1</v>
      </c>
      <c r="I81" s="20">
        <v>1</v>
      </c>
      <c r="J81" s="20">
        <v>1</v>
      </c>
      <c r="K81" s="20">
        <v>1</v>
      </c>
      <c r="L81" s="20">
        <v>1</v>
      </c>
      <c r="M81" s="20">
        <v>1</v>
      </c>
      <c r="N81" s="20">
        <v>1</v>
      </c>
      <c r="O81" s="20">
        <v>1</v>
      </c>
      <c r="P81" s="20">
        <v>1</v>
      </c>
      <c r="Q81" s="20">
        <v>1</v>
      </c>
      <c r="R81" s="20">
        <v>1</v>
      </c>
      <c r="S81" s="20">
        <v>1</v>
      </c>
      <c r="T81" s="20">
        <v>1</v>
      </c>
      <c r="U81" s="20">
        <v>1</v>
      </c>
      <c r="V81" s="20">
        <v>1</v>
      </c>
      <c r="W81" s="20">
        <v>1</v>
      </c>
      <c r="X81" s="20">
        <v>1</v>
      </c>
      <c r="Y81" s="20">
        <v>1</v>
      </c>
      <c r="Z81" s="20">
        <v>1</v>
      </c>
      <c r="AA81" s="20">
        <v>1</v>
      </c>
      <c r="AB81" s="20">
        <v>1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20">
        <v>1</v>
      </c>
      <c r="AJ81" s="20">
        <v>1</v>
      </c>
      <c r="AK81" s="20">
        <v>1</v>
      </c>
      <c r="AL81" s="20">
        <v>1</v>
      </c>
      <c r="AM81" s="20">
        <v>1</v>
      </c>
      <c r="AN81" s="21">
        <v>0</v>
      </c>
      <c r="AO81" s="20">
        <v>0</v>
      </c>
      <c r="AP81" s="20">
        <v>0</v>
      </c>
      <c r="AQ81" s="20">
        <v>0</v>
      </c>
      <c r="AR81" s="20">
        <v>0</v>
      </c>
    </row>
    <row r="82" spans="1:44" x14ac:dyDescent="0.3">
      <c r="A82" s="54"/>
      <c r="B82" s="54"/>
      <c r="C82" s="53" t="s">
        <v>109</v>
      </c>
      <c r="D82" s="53"/>
      <c r="E82" s="48" t="s">
        <v>103</v>
      </c>
      <c r="F82" s="48"/>
      <c r="G82" s="20">
        <v>2</v>
      </c>
      <c r="H82" s="20">
        <v>2</v>
      </c>
      <c r="I82" s="20">
        <v>2</v>
      </c>
      <c r="J82" s="20">
        <v>2</v>
      </c>
      <c r="K82" s="20">
        <v>2</v>
      </c>
      <c r="L82" s="20">
        <v>2</v>
      </c>
      <c r="M82" s="20">
        <v>2</v>
      </c>
      <c r="N82" s="20">
        <v>2</v>
      </c>
      <c r="O82" s="20">
        <v>2</v>
      </c>
      <c r="P82" s="20">
        <v>2</v>
      </c>
      <c r="Q82" s="20">
        <v>2</v>
      </c>
      <c r="R82" s="20">
        <v>2</v>
      </c>
      <c r="S82" s="20">
        <v>2</v>
      </c>
      <c r="T82" s="20">
        <v>2</v>
      </c>
      <c r="U82" s="20">
        <v>2</v>
      </c>
      <c r="V82" s="20">
        <v>2</v>
      </c>
      <c r="W82" s="20">
        <v>2</v>
      </c>
      <c r="X82" s="20">
        <v>2</v>
      </c>
      <c r="Y82" s="20">
        <v>2</v>
      </c>
      <c r="Z82" s="20">
        <v>2</v>
      </c>
      <c r="AA82" s="20">
        <v>2</v>
      </c>
      <c r="AB82" s="20">
        <v>2</v>
      </c>
      <c r="AC82" s="20">
        <v>2</v>
      </c>
      <c r="AD82" s="20">
        <v>2</v>
      </c>
      <c r="AE82" s="20">
        <v>2</v>
      </c>
      <c r="AF82" s="20">
        <v>2</v>
      </c>
      <c r="AG82" s="20">
        <v>2</v>
      </c>
      <c r="AH82" s="20">
        <v>2</v>
      </c>
      <c r="AI82" s="20">
        <v>2</v>
      </c>
      <c r="AJ82" s="20">
        <v>1</v>
      </c>
      <c r="AK82" s="20">
        <v>1</v>
      </c>
      <c r="AL82" s="20">
        <v>1</v>
      </c>
      <c r="AM82" s="20">
        <v>1</v>
      </c>
      <c r="AN82" s="21">
        <v>0</v>
      </c>
      <c r="AO82" s="20">
        <v>0</v>
      </c>
      <c r="AP82" s="20">
        <v>0</v>
      </c>
      <c r="AQ82" s="20">
        <v>0</v>
      </c>
      <c r="AR82" s="20">
        <v>0</v>
      </c>
    </row>
    <row r="83" spans="1:44" x14ac:dyDescent="0.3">
      <c r="A83" s="54"/>
      <c r="B83" s="54"/>
      <c r="C83" s="53" t="s">
        <v>110</v>
      </c>
      <c r="D83" s="53"/>
      <c r="E83" s="48" t="s">
        <v>103</v>
      </c>
      <c r="F83" s="48"/>
      <c r="G83" s="20">
        <v>2</v>
      </c>
      <c r="H83" s="20">
        <v>2</v>
      </c>
      <c r="I83" s="20">
        <v>2</v>
      </c>
      <c r="J83" s="20">
        <v>2</v>
      </c>
      <c r="K83" s="20">
        <v>2</v>
      </c>
      <c r="L83" s="20">
        <v>2</v>
      </c>
      <c r="M83" s="20">
        <v>2</v>
      </c>
      <c r="N83" s="20">
        <v>2</v>
      </c>
      <c r="O83" s="20">
        <v>2</v>
      </c>
      <c r="P83" s="20">
        <v>2</v>
      </c>
      <c r="Q83" s="20">
        <v>2</v>
      </c>
      <c r="R83" s="20">
        <v>2</v>
      </c>
      <c r="S83" s="20">
        <v>2</v>
      </c>
      <c r="T83" s="20">
        <v>2</v>
      </c>
      <c r="U83" s="20">
        <v>2</v>
      </c>
      <c r="V83" s="20">
        <v>2</v>
      </c>
      <c r="W83" s="20">
        <v>2</v>
      </c>
      <c r="X83" s="20">
        <v>2</v>
      </c>
      <c r="Y83" s="20">
        <v>2</v>
      </c>
      <c r="Z83" s="20">
        <v>2</v>
      </c>
      <c r="AA83" s="20">
        <v>2</v>
      </c>
      <c r="AB83" s="20">
        <v>2</v>
      </c>
      <c r="AC83" s="20">
        <v>2</v>
      </c>
      <c r="AD83" s="20">
        <v>2</v>
      </c>
      <c r="AE83" s="20">
        <v>2</v>
      </c>
      <c r="AF83" s="20">
        <v>2</v>
      </c>
      <c r="AG83" s="20">
        <v>2</v>
      </c>
      <c r="AH83" s="20">
        <v>2</v>
      </c>
      <c r="AI83" s="20">
        <v>2</v>
      </c>
      <c r="AJ83" s="20">
        <v>1</v>
      </c>
      <c r="AK83" s="20">
        <v>1</v>
      </c>
      <c r="AL83" s="20">
        <v>1</v>
      </c>
      <c r="AM83" s="20">
        <v>1</v>
      </c>
      <c r="AN83" s="21">
        <v>0</v>
      </c>
      <c r="AO83" s="20">
        <v>0</v>
      </c>
      <c r="AP83" s="20">
        <v>0</v>
      </c>
      <c r="AQ83" s="20">
        <v>0</v>
      </c>
      <c r="AR83" s="20">
        <v>0</v>
      </c>
    </row>
    <row r="84" spans="1:44" x14ac:dyDescent="0.3">
      <c r="A84" s="54"/>
      <c r="B84" s="54" t="s">
        <v>36</v>
      </c>
      <c r="C84" s="53" t="s">
        <v>37</v>
      </c>
      <c r="D84" s="53"/>
      <c r="E84" s="55" t="s">
        <v>65</v>
      </c>
      <c r="F84" s="55"/>
      <c r="G84" s="20">
        <v>1</v>
      </c>
      <c r="H84" s="20">
        <v>1</v>
      </c>
      <c r="I84" s="20">
        <v>1</v>
      </c>
      <c r="J84" s="20">
        <v>1</v>
      </c>
      <c r="K84" s="20">
        <v>1</v>
      </c>
      <c r="L84" s="20">
        <v>1</v>
      </c>
      <c r="M84" s="20">
        <v>1</v>
      </c>
      <c r="N84" s="20">
        <v>1</v>
      </c>
      <c r="O84" s="20">
        <v>1</v>
      </c>
      <c r="P84" s="20">
        <v>1</v>
      </c>
      <c r="Q84" s="20">
        <v>1</v>
      </c>
      <c r="R84" s="20">
        <v>1</v>
      </c>
      <c r="S84" s="20">
        <v>1</v>
      </c>
      <c r="T84" s="20">
        <v>1</v>
      </c>
      <c r="U84" s="20">
        <v>1</v>
      </c>
      <c r="V84" s="20">
        <v>1</v>
      </c>
      <c r="W84" s="20">
        <v>1</v>
      </c>
      <c r="X84" s="20">
        <v>1</v>
      </c>
      <c r="Y84" s="20">
        <v>1</v>
      </c>
      <c r="Z84" s="20">
        <v>1</v>
      </c>
      <c r="AA84" s="20">
        <v>1</v>
      </c>
      <c r="AB84" s="20">
        <v>1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20">
        <v>1</v>
      </c>
      <c r="AJ84" s="20">
        <v>1</v>
      </c>
      <c r="AK84" s="20">
        <v>1</v>
      </c>
      <c r="AL84" s="20">
        <v>1</v>
      </c>
      <c r="AM84" s="20">
        <v>1</v>
      </c>
      <c r="AN84" s="20">
        <v>1</v>
      </c>
      <c r="AO84" s="21">
        <v>0</v>
      </c>
      <c r="AP84" s="20">
        <v>0</v>
      </c>
      <c r="AQ84" s="20">
        <v>0</v>
      </c>
      <c r="AR84" s="20">
        <v>0</v>
      </c>
    </row>
    <row r="85" spans="1:44" x14ac:dyDescent="0.3">
      <c r="A85" s="54"/>
      <c r="B85" s="54"/>
      <c r="C85" s="53" t="s">
        <v>59</v>
      </c>
      <c r="D85" s="53"/>
      <c r="E85" s="55" t="s">
        <v>65</v>
      </c>
      <c r="F85" s="55"/>
      <c r="G85" s="20">
        <v>1</v>
      </c>
      <c r="H85" s="20">
        <v>1</v>
      </c>
      <c r="I85" s="20">
        <v>1</v>
      </c>
      <c r="J85" s="20">
        <v>1</v>
      </c>
      <c r="K85" s="20">
        <v>1</v>
      </c>
      <c r="L85" s="20">
        <v>1</v>
      </c>
      <c r="M85" s="20">
        <v>1</v>
      </c>
      <c r="N85" s="20">
        <v>1</v>
      </c>
      <c r="O85" s="20">
        <v>1</v>
      </c>
      <c r="P85" s="20">
        <v>1</v>
      </c>
      <c r="Q85" s="20">
        <v>1</v>
      </c>
      <c r="R85" s="20">
        <v>1</v>
      </c>
      <c r="S85" s="20">
        <v>1</v>
      </c>
      <c r="T85" s="20">
        <v>1</v>
      </c>
      <c r="U85" s="20">
        <v>1</v>
      </c>
      <c r="V85" s="20">
        <v>1</v>
      </c>
      <c r="W85" s="20">
        <v>1</v>
      </c>
      <c r="X85" s="20">
        <v>1</v>
      </c>
      <c r="Y85" s="20">
        <v>1</v>
      </c>
      <c r="Z85" s="20">
        <v>1</v>
      </c>
      <c r="AA85" s="20">
        <v>1</v>
      </c>
      <c r="AB85" s="20">
        <v>1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20">
        <v>1</v>
      </c>
      <c r="AJ85" s="20">
        <v>1</v>
      </c>
      <c r="AK85" s="20">
        <v>1</v>
      </c>
      <c r="AL85" s="20">
        <v>1</v>
      </c>
      <c r="AM85" s="20">
        <v>1</v>
      </c>
      <c r="AN85" s="20">
        <v>1</v>
      </c>
      <c r="AO85" s="21">
        <v>0</v>
      </c>
      <c r="AP85" s="20">
        <v>0</v>
      </c>
      <c r="AQ85" s="20">
        <v>0</v>
      </c>
      <c r="AR85" s="20">
        <v>0</v>
      </c>
    </row>
    <row r="86" spans="1:44" x14ac:dyDescent="0.3">
      <c r="A86" s="54"/>
      <c r="B86" s="54"/>
      <c r="C86" s="53" t="s">
        <v>111</v>
      </c>
      <c r="D86" s="53"/>
      <c r="E86" s="55" t="s">
        <v>65</v>
      </c>
      <c r="F86" s="55"/>
      <c r="G86" s="20">
        <v>1</v>
      </c>
      <c r="H86" s="20">
        <v>1</v>
      </c>
      <c r="I86" s="20">
        <v>1</v>
      </c>
      <c r="J86" s="20">
        <v>1</v>
      </c>
      <c r="K86" s="20">
        <v>1</v>
      </c>
      <c r="L86" s="20">
        <v>1</v>
      </c>
      <c r="M86" s="20">
        <v>1</v>
      </c>
      <c r="N86" s="20">
        <v>1</v>
      </c>
      <c r="O86" s="20">
        <v>1</v>
      </c>
      <c r="P86" s="20">
        <v>1</v>
      </c>
      <c r="Q86" s="20">
        <v>1</v>
      </c>
      <c r="R86" s="20">
        <v>1</v>
      </c>
      <c r="S86" s="20">
        <v>1</v>
      </c>
      <c r="T86" s="20">
        <v>1</v>
      </c>
      <c r="U86" s="20">
        <v>1</v>
      </c>
      <c r="V86" s="20">
        <v>1</v>
      </c>
      <c r="W86" s="20">
        <v>1</v>
      </c>
      <c r="X86" s="20">
        <v>1</v>
      </c>
      <c r="Y86" s="20">
        <v>1</v>
      </c>
      <c r="Z86" s="20">
        <v>1</v>
      </c>
      <c r="AA86" s="20">
        <v>1</v>
      </c>
      <c r="AB86" s="20">
        <v>1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20">
        <v>1</v>
      </c>
      <c r="AJ86" s="20">
        <v>1</v>
      </c>
      <c r="AK86" s="20">
        <v>1</v>
      </c>
      <c r="AL86" s="20">
        <v>1</v>
      </c>
      <c r="AM86" s="20">
        <v>1</v>
      </c>
      <c r="AN86" s="20">
        <v>1</v>
      </c>
      <c r="AO86" s="21">
        <v>0</v>
      </c>
      <c r="AP86" s="20">
        <v>0</v>
      </c>
      <c r="AQ86" s="20">
        <v>0</v>
      </c>
      <c r="AR86" s="20">
        <v>0</v>
      </c>
    </row>
    <row r="87" spans="1:44" x14ac:dyDescent="0.3">
      <c r="A87" s="54"/>
      <c r="B87" s="54"/>
      <c r="C87" s="53" t="s">
        <v>112</v>
      </c>
      <c r="D87" s="53"/>
      <c r="E87" s="55" t="s">
        <v>65</v>
      </c>
      <c r="F87" s="55"/>
      <c r="G87" s="20">
        <v>1</v>
      </c>
      <c r="H87" s="20">
        <v>1</v>
      </c>
      <c r="I87" s="20">
        <v>1</v>
      </c>
      <c r="J87" s="20">
        <v>1</v>
      </c>
      <c r="K87" s="20">
        <v>1</v>
      </c>
      <c r="L87" s="20">
        <v>1</v>
      </c>
      <c r="M87" s="20">
        <v>1</v>
      </c>
      <c r="N87" s="20">
        <v>1</v>
      </c>
      <c r="O87" s="20">
        <v>1</v>
      </c>
      <c r="P87" s="20">
        <v>1</v>
      </c>
      <c r="Q87" s="20">
        <v>1</v>
      </c>
      <c r="R87" s="20">
        <v>1</v>
      </c>
      <c r="S87" s="20">
        <v>1</v>
      </c>
      <c r="T87" s="20">
        <v>1</v>
      </c>
      <c r="U87" s="20">
        <v>1</v>
      </c>
      <c r="V87" s="20">
        <v>1</v>
      </c>
      <c r="W87" s="20">
        <v>1</v>
      </c>
      <c r="X87" s="20">
        <v>1</v>
      </c>
      <c r="Y87" s="20">
        <v>1</v>
      </c>
      <c r="Z87" s="20">
        <v>1</v>
      </c>
      <c r="AA87" s="20">
        <v>1</v>
      </c>
      <c r="AB87" s="20">
        <v>1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20">
        <v>1</v>
      </c>
      <c r="AJ87" s="20">
        <v>1</v>
      </c>
      <c r="AK87" s="20">
        <v>1</v>
      </c>
      <c r="AL87" s="20">
        <v>1</v>
      </c>
      <c r="AM87" s="20">
        <v>1</v>
      </c>
      <c r="AN87" s="20">
        <v>1</v>
      </c>
      <c r="AO87" s="21">
        <v>0</v>
      </c>
      <c r="AP87" s="20">
        <v>0</v>
      </c>
      <c r="AQ87" s="20">
        <v>0</v>
      </c>
      <c r="AR87" s="20">
        <v>0</v>
      </c>
    </row>
    <row r="88" spans="1:44" x14ac:dyDescent="0.3">
      <c r="A88" s="54"/>
      <c r="B88" s="54"/>
      <c r="C88" s="53" t="s">
        <v>114</v>
      </c>
      <c r="D88" s="53"/>
      <c r="E88" s="55" t="s">
        <v>65</v>
      </c>
      <c r="F88" s="55"/>
      <c r="G88" s="20">
        <v>1</v>
      </c>
      <c r="H88" s="20">
        <v>1</v>
      </c>
      <c r="I88" s="20">
        <v>1</v>
      </c>
      <c r="J88" s="20">
        <v>1</v>
      </c>
      <c r="K88" s="20">
        <v>1</v>
      </c>
      <c r="L88" s="20">
        <v>1</v>
      </c>
      <c r="M88" s="20">
        <v>1</v>
      </c>
      <c r="N88" s="20">
        <v>1</v>
      </c>
      <c r="O88" s="20">
        <v>1</v>
      </c>
      <c r="P88" s="20">
        <v>1</v>
      </c>
      <c r="Q88" s="20">
        <v>1</v>
      </c>
      <c r="R88" s="20">
        <v>1</v>
      </c>
      <c r="S88" s="20">
        <v>1</v>
      </c>
      <c r="T88" s="20">
        <v>1</v>
      </c>
      <c r="U88" s="20">
        <v>1</v>
      </c>
      <c r="V88" s="20">
        <v>1</v>
      </c>
      <c r="W88" s="20">
        <v>1</v>
      </c>
      <c r="X88" s="20">
        <v>1</v>
      </c>
      <c r="Y88" s="20">
        <v>1</v>
      </c>
      <c r="Z88" s="20">
        <v>1</v>
      </c>
      <c r="AA88" s="20">
        <v>1</v>
      </c>
      <c r="AB88" s="20">
        <v>1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20">
        <v>1</v>
      </c>
      <c r="AJ88" s="20">
        <v>1</v>
      </c>
      <c r="AK88" s="20">
        <v>1</v>
      </c>
      <c r="AL88" s="20">
        <v>1</v>
      </c>
      <c r="AM88" s="20">
        <v>1</v>
      </c>
      <c r="AN88" s="20">
        <v>1</v>
      </c>
      <c r="AO88" s="21">
        <v>0</v>
      </c>
      <c r="AP88" s="20">
        <v>0</v>
      </c>
      <c r="AQ88" s="20">
        <v>0</v>
      </c>
      <c r="AR88" s="20">
        <v>0</v>
      </c>
    </row>
    <row r="89" spans="1:44" x14ac:dyDescent="0.3">
      <c r="A89" s="54"/>
      <c r="B89" s="54"/>
      <c r="C89" s="53" t="s">
        <v>113</v>
      </c>
      <c r="D89" s="53"/>
      <c r="E89" s="55" t="s">
        <v>61</v>
      </c>
      <c r="F89" s="55"/>
      <c r="G89" s="20">
        <v>1</v>
      </c>
      <c r="H89" s="20">
        <v>1</v>
      </c>
      <c r="I89" s="20">
        <v>1</v>
      </c>
      <c r="J89" s="20">
        <v>1</v>
      </c>
      <c r="K89" s="20">
        <v>1</v>
      </c>
      <c r="L89" s="20">
        <v>1</v>
      </c>
      <c r="M89" s="20">
        <v>1</v>
      </c>
      <c r="N89" s="20">
        <v>1</v>
      </c>
      <c r="O89" s="20">
        <v>1</v>
      </c>
      <c r="P89" s="20">
        <v>1</v>
      </c>
      <c r="Q89" s="20">
        <v>1</v>
      </c>
      <c r="R89" s="20">
        <v>1</v>
      </c>
      <c r="S89" s="20">
        <v>1</v>
      </c>
      <c r="T89" s="20">
        <v>1</v>
      </c>
      <c r="U89" s="20">
        <v>1</v>
      </c>
      <c r="V89" s="20">
        <v>1</v>
      </c>
      <c r="W89" s="20">
        <v>1</v>
      </c>
      <c r="X89" s="20">
        <v>1</v>
      </c>
      <c r="Y89" s="20">
        <v>1</v>
      </c>
      <c r="Z89" s="20">
        <v>1</v>
      </c>
      <c r="AA89" s="20">
        <v>1</v>
      </c>
      <c r="AB89" s="20">
        <v>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20">
        <v>1</v>
      </c>
      <c r="AJ89" s="20">
        <v>1</v>
      </c>
      <c r="AK89" s="20">
        <v>1</v>
      </c>
      <c r="AL89" s="20">
        <v>1</v>
      </c>
      <c r="AM89" s="20">
        <v>1</v>
      </c>
      <c r="AN89" s="20">
        <v>1</v>
      </c>
      <c r="AO89" s="20">
        <v>1</v>
      </c>
      <c r="AP89" s="21">
        <v>0</v>
      </c>
      <c r="AQ89" s="20">
        <v>0</v>
      </c>
      <c r="AR89" s="20">
        <v>0</v>
      </c>
    </row>
    <row r="90" spans="1:44" x14ac:dyDescent="0.3">
      <c r="A90" s="54"/>
      <c r="B90" s="54"/>
      <c r="C90" s="56" t="s">
        <v>115</v>
      </c>
      <c r="D90" s="57"/>
      <c r="E90" s="55" t="s">
        <v>61</v>
      </c>
      <c r="F90" s="55"/>
      <c r="G90" s="20">
        <v>1</v>
      </c>
      <c r="H90" s="20">
        <v>1</v>
      </c>
      <c r="I90" s="20">
        <v>1</v>
      </c>
      <c r="J90" s="20">
        <v>1</v>
      </c>
      <c r="K90" s="20">
        <v>1</v>
      </c>
      <c r="L90" s="20">
        <v>1</v>
      </c>
      <c r="M90" s="20">
        <v>1</v>
      </c>
      <c r="N90" s="20">
        <v>1</v>
      </c>
      <c r="O90" s="20">
        <v>1</v>
      </c>
      <c r="P90" s="20">
        <v>1</v>
      </c>
      <c r="Q90" s="20">
        <v>1</v>
      </c>
      <c r="R90" s="20">
        <v>1</v>
      </c>
      <c r="S90" s="20">
        <v>1</v>
      </c>
      <c r="T90" s="20">
        <v>1</v>
      </c>
      <c r="U90" s="20">
        <v>1</v>
      </c>
      <c r="V90" s="20">
        <v>1</v>
      </c>
      <c r="W90" s="20">
        <v>1</v>
      </c>
      <c r="X90" s="20">
        <v>1</v>
      </c>
      <c r="Y90" s="20">
        <v>1</v>
      </c>
      <c r="Z90" s="20">
        <v>1</v>
      </c>
      <c r="AA90" s="20">
        <v>1</v>
      </c>
      <c r="AB90" s="20">
        <v>1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20">
        <v>1</v>
      </c>
      <c r="AJ90" s="20">
        <v>1</v>
      </c>
      <c r="AK90" s="20">
        <v>1</v>
      </c>
      <c r="AL90" s="20">
        <v>1</v>
      </c>
      <c r="AM90" s="20">
        <v>1</v>
      </c>
      <c r="AN90" s="20">
        <v>1</v>
      </c>
      <c r="AO90" s="20">
        <v>1</v>
      </c>
      <c r="AP90" s="21">
        <v>0</v>
      </c>
      <c r="AQ90" s="20">
        <v>0</v>
      </c>
      <c r="AR90" s="20">
        <v>0</v>
      </c>
    </row>
    <row r="91" spans="1:44" x14ac:dyDescent="0.3">
      <c r="A91" s="54"/>
      <c r="B91" s="54"/>
      <c r="C91" s="56" t="s">
        <v>116</v>
      </c>
      <c r="D91" s="57"/>
      <c r="E91" s="55" t="s">
        <v>61</v>
      </c>
      <c r="F91" s="55"/>
      <c r="G91" s="20">
        <v>1</v>
      </c>
      <c r="H91" s="20">
        <v>1</v>
      </c>
      <c r="I91" s="20">
        <v>1</v>
      </c>
      <c r="J91" s="20">
        <v>1</v>
      </c>
      <c r="K91" s="20">
        <v>1</v>
      </c>
      <c r="L91" s="20">
        <v>1</v>
      </c>
      <c r="M91" s="20">
        <v>1</v>
      </c>
      <c r="N91" s="20">
        <v>1</v>
      </c>
      <c r="O91" s="20">
        <v>1</v>
      </c>
      <c r="P91" s="20">
        <v>1</v>
      </c>
      <c r="Q91" s="20">
        <v>1</v>
      </c>
      <c r="R91" s="20">
        <v>1</v>
      </c>
      <c r="S91" s="20">
        <v>1</v>
      </c>
      <c r="T91" s="20">
        <v>1</v>
      </c>
      <c r="U91" s="20">
        <v>1</v>
      </c>
      <c r="V91" s="20">
        <v>1</v>
      </c>
      <c r="W91" s="20">
        <v>1</v>
      </c>
      <c r="X91" s="20">
        <v>1</v>
      </c>
      <c r="Y91" s="20">
        <v>1</v>
      </c>
      <c r="Z91" s="20">
        <v>1</v>
      </c>
      <c r="AA91" s="20">
        <v>1</v>
      </c>
      <c r="AB91" s="20">
        <v>1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20">
        <v>1</v>
      </c>
      <c r="AJ91" s="20">
        <v>1</v>
      </c>
      <c r="AK91" s="20">
        <v>1</v>
      </c>
      <c r="AL91" s="20">
        <v>1</v>
      </c>
      <c r="AM91" s="20">
        <v>1</v>
      </c>
      <c r="AN91" s="20">
        <v>1</v>
      </c>
      <c r="AO91" s="20">
        <v>1</v>
      </c>
      <c r="AP91" s="21">
        <v>0</v>
      </c>
      <c r="AQ91" s="20">
        <v>0</v>
      </c>
      <c r="AR91" s="20">
        <v>0</v>
      </c>
    </row>
    <row r="92" spans="1:44" x14ac:dyDescent="0.3">
      <c r="A92" s="54"/>
      <c r="B92" s="54"/>
      <c r="C92" s="53" t="s">
        <v>117</v>
      </c>
      <c r="D92" s="53"/>
      <c r="E92" s="55" t="s">
        <v>61</v>
      </c>
      <c r="F92" s="55"/>
      <c r="G92" s="20">
        <v>1</v>
      </c>
      <c r="H92" s="20">
        <v>1</v>
      </c>
      <c r="I92" s="20">
        <v>1</v>
      </c>
      <c r="J92" s="20">
        <v>1</v>
      </c>
      <c r="K92" s="20">
        <v>1</v>
      </c>
      <c r="L92" s="20">
        <v>1</v>
      </c>
      <c r="M92" s="20">
        <v>1</v>
      </c>
      <c r="N92" s="20">
        <v>1</v>
      </c>
      <c r="O92" s="20">
        <v>1</v>
      </c>
      <c r="P92" s="20">
        <v>1</v>
      </c>
      <c r="Q92" s="20">
        <v>1</v>
      </c>
      <c r="R92" s="20">
        <v>1</v>
      </c>
      <c r="S92" s="20">
        <v>1</v>
      </c>
      <c r="T92" s="20">
        <v>1</v>
      </c>
      <c r="U92" s="20">
        <v>1</v>
      </c>
      <c r="V92" s="20">
        <v>1</v>
      </c>
      <c r="W92" s="20">
        <v>1</v>
      </c>
      <c r="X92" s="20">
        <v>1</v>
      </c>
      <c r="Y92" s="20">
        <v>1</v>
      </c>
      <c r="Z92" s="20">
        <v>1</v>
      </c>
      <c r="AA92" s="20">
        <v>1</v>
      </c>
      <c r="AB92" s="20">
        <v>1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20">
        <v>1</v>
      </c>
      <c r="AJ92" s="20">
        <v>1</v>
      </c>
      <c r="AK92" s="20">
        <v>1</v>
      </c>
      <c r="AL92" s="20">
        <v>1</v>
      </c>
      <c r="AM92" s="20">
        <v>1</v>
      </c>
      <c r="AN92" s="20">
        <v>1</v>
      </c>
      <c r="AO92" s="20">
        <v>1</v>
      </c>
      <c r="AP92" s="21">
        <v>0</v>
      </c>
      <c r="AQ92" s="20">
        <v>0</v>
      </c>
      <c r="AR92" s="20">
        <v>0</v>
      </c>
    </row>
    <row r="93" spans="1:44" x14ac:dyDescent="0.3">
      <c r="A93" s="54"/>
      <c r="B93" s="54" t="s">
        <v>32</v>
      </c>
      <c r="C93" s="53" t="s">
        <v>30</v>
      </c>
      <c r="D93" s="53"/>
      <c r="E93" s="55" t="s">
        <v>43</v>
      </c>
      <c r="F93" s="55"/>
      <c r="G93" s="20">
        <v>5</v>
      </c>
      <c r="H93" s="20">
        <v>5</v>
      </c>
      <c r="I93" s="20">
        <v>5</v>
      </c>
      <c r="J93" s="20">
        <v>5</v>
      </c>
      <c r="K93" s="20">
        <v>5</v>
      </c>
      <c r="L93" s="20">
        <v>5</v>
      </c>
      <c r="M93" s="20">
        <v>5</v>
      </c>
      <c r="N93" s="20">
        <v>5</v>
      </c>
      <c r="O93" s="20">
        <v>5</v>
      </c>
      <c r="P93" s="20">
        <v>5</v>
      </c>
      <c r="Q93" s="20">
        <v>5</v>
      </c>
      <c r="R93" s="20">
        <v>5</v>
      </c>
      <c r="S93" s="20">
        <v>5</v>
      </c>
      <c r="T93" s="20">
        <v>5</v>
      </c>
      <c r="U93" s="20">
        <v>5</v>
      </c>
      <c r="V93" s="20">
        <v>5</v>
      </c>
      <c r="W93" s="20">
        <v>5</v>
      </c>
      <c r="X93" s="20">
        <v>5</v>
      </c>
      <c r="Y93" s="20">
        <v>5</v>
      </c>
      <c r="Z93" s="20">
        <v>5</v>
      </c>
      <c r="AA93" s="20">
        <v>5</v>
      </c>
      <c r="AB93" s="20">
        <v>5</v>
      </c>
      <c r="AC93" s="20">
        <v>5</v>
      </c>
      <c r="AD93" s="20">
        <v>5</v>
      </c>
      <c r="AE93" s="20">
        <v>5</v>
      </c>
      <c r="AF93" s="20">
        <v>5</v>
      </c>
      <c r="AG93" s="20">
        <v>5</v>
      </c>
      <c r="AH93" s="20">
        <v>5</v>
      </c>
      <c r="AI93" s="20">
        <v>5</v>
      </c>
      <c r="AJ93" s="20">
        <v>5</v>
      </c>
      <c r="AK93" s="20">
        <v>5</v>
      </c>
      <c r="AL93" s="20">
        <v>5</v>
      </c>
      <c r="AM93" s="20">
        <v>5</v>
      </c>
      <c r="AN93" s="20">
        <v>5</v>
      </c>
      <c r="AO93" s="20">
        <v>5</v>
      </c>
      <c r="AP93" s="20">
        <v>5</v>
      </c>
      <c r="AQ93" s="21">
        <v>0</v>
      </c>
      <c r="AR93" s="20">
        <v>0</v>
      </c>
    </row>
    <row r="94" spans="1:44" x14ac:dyDescent="0.3">
      <c r="A94" s="54"/>
      <c r="B94" s="54"/>
      <c r="C94" s="53" t="s">
        <v>31</v>
      </c>
      <c r="D94" s="53"/>
      <c r="E94" s="55" t="s">
        <v>43</v>
      </c>
      <c r="F94" s="55"/>
      <c r="G94" s="20">
        <v>5</v>
      </c>
      <c r="H94" s="20">
        <v>5</v>
      </c>
      <c r="I94" s="20">
        <v>5</v>
      </c>
      <c r="J94" s="20">
        <v>5</v>
      </c>
      <c r="K94" s="20">
        <v>5</v>
      </c>
      <c r="L94" s="20">
        <v>5</v>
      </c>
      <c r="M94" s="20">
        <v>5</v>
      </c>
      <c r="N94" s="20">
        <v>5</v>
      </c>
      <c r="O94" s="20">
        <v>5</v>
      </c>
      <c r="P94" s="20">
        <v>5</v>
      </c>
      <c r="Q94" s="20">
        <v>5</v>
      </c>
      <c r="R94" s="20">
        <v>5</v>
      </c>
      <c r="S94" s="20">
        <v>5</v>
      </c>
      <c r="T94" s="20">
        <v>5</v>
      </c>
      <c r="U94" s="20">
        <v>5</v>
      </c>
      <c r="V94" s="20">
        <v>5</v>
      </c>
      <c r="W94" s="20">
        <v>5</v>
      </c>
      <c r="X94" s="20">
        <v>5</v>
      </c>
      <c r="Y94" s="20">
        <v>5</v>
      </c>
      <c r="Z94" s="20">
        <v>5</v>
      </c>
      <c r="AA94" s="20">
        <v>5</v>
      </c>
      <c r="AB94" s="20">
        <v>5</v>
      </c>
      <c r="AC94" s="20">
        <v>5</v>
      </c>
      <c r="AD94" s="20">
        <v>5</v>
      </c>
      <c r="AE94" s="20">
        <v>5</v>
      </c>
      <c r="AF94" s="20">
        <v>5</v>
      </c>
      <c r="AG94" s="20">
        <v>5</v>
      </c>
      <c r="AH94" s="20">
        <v>5</v>
      </c>
      <c r="AI94" s="20">
        <v>5</v>
      </c>
      <c r="AJ94" s="20">
        <v>5</v>
      </c>
      <c r="AK94" s="20">
        <v>5</v>
      </c>
      <c r="AL94" s="20">
        <v>5</v>
      </c>
      <c r="AM94" s="20">
        <v>5</v>
      </c>
      <c r="AN94" s="20">
        <v>5</v>
      </c>
      <c r="AO94" s="20">
        <v>5</v>
      </c>
      <c r="AP94" s="20">
        <v>5</v>
      </c>
      <c r="AQ94" s="20">
        <v>5</v>
      </c>
      <c r="AR94" s="21">
        <v>0</v>
      </c>
    </row>
    <row r="95" spans="1:44" x14ac:dyDescent="0.3">
      <c r="A95" s="54"/>
      <c r="B95" s="65" t="s">
        <v>11</v>
      </c>
      <c r="C95" s="65"/>
      <c r="D95" s="65"/>
      <c r="E95" s="58" t="s">
        <v>10</v>
      </c>
      <c r="F95" s="58"/>
      <c r="G95" s="58">
        <f>SUM(G15:G94)</f>
        <v>189</v>
      </c>
      <c r="H95" s="58"/>
      <c r="I95" s="20">
        <f t="shared" ref="I95:P95" si="0">SUM(I15:I94)</f>
        <v>178</v>
      </c>
      <c r="J95" s="20">
        <f t="shared" si="0"/>
        <v>163</v>
      </c>
      <c r="K95" s="20">
        <f t="shared" si="0"/>
        <v>153</v>
      </c>
      <c r="L95" s="20">
        <f t="shared" si="0"/>
        <v>145</v>
      </c>
      <c r="M95" s="20">
        <f t="shared" si="0"/>
        <v>132</v>
      </c>
      <c r="N95" s="20">
        <f t="shared" si="0"/>
        <v>122</v>
      </c>
      <c r="O95" s="20">
        <f t="shared" si="0"/>
        <v>121</v>
      </c>
      <c r="P95" s="20">
        <f t="shared" si="0"/>
        <v>106</v>
      </c>
      <c r="Q95" s="20">
        <f>SUM(Q15:Q94)+R46</f>
        <v>101</v>
      </c>
      <c r="R95" s="20">
        <f t="shared" ref="R95:Y95" si="1">SUM(R15:R94)</f>
        <v>93</v>
      </c>
      <c r="S95" s="20">
        <f t="shared" si="1"/>
        <v>84</v>
      </c>
      <c r="T95" s="20">
        <f t="shared" si="1"/>
        <v>81</v>
      </c>
      <c r="U95" s="20">
        <f t="shared" si="1"/>
        <v>81</v>
      </c>
      <c r="V95" s="20">
        <f t="shared" si="1"/>
        <v>79</v>
      </c>
      <c r="W95" s="20">
        <f t="shared" si="1"/>
        <v>77</v>
      </c>
      <c r="X95" s="20">
        <f t="shared" si="1"/>
        <v>72</v>
      </c>
      <c r="Y95" s="20">
        <f t="shared" si="1"/>
        <v>72</v>
      </c>
      <c r="Z95" s="20">
        <f>SUM(Z15:Z94)-Z64</f>
        <v>70</v>
      </c>
      <c r="AA95" s="20">
        <f t="shared" ref="AA95:AG95" si="2">SUM(AA15:AA94)</f>
        <v>65</v>
      </c>
      <c r="AB95" s="20">
        <f t="shared" si="2"/>
        <v>65</v>
      </c>
      <c r="AC95" s="20">
        <f t="shared" si="2"/>
        <v>62</v>
      </c>
      <c r="AD95" s="20">
        <f t="shared" si="2"/>
        <v>59</v>
      </c>
      <c r="AE95" s="20">
        <f t="shared" si="2"/>
        <v>58</v>
      </c>
      <c r="AF95" s="20">
        <f t="shared" si="2"/>
        <v>53</v>
      </c>
      <c r="AG95" s="20">
        <f t="shared" si="2"/>
        <v>50</v>
      </c>
      <c r="AH95" s="20">
        <f>SUM(AH15:AH94)-AH64</f>
        <v>41</v>
      </c>
      <c r="AI95" s="20">
        <f t="shared" ref="AI95:AR95" si="3">SUM(AI15:AI94)</f>
        <v>40</v>
      </c>
      <c r="AJ95" s="20">
        <f t="shared" si="3"/>
        <v>33</v>
      </c>
      <c r="AK95" s="20">
        <f t="shared" si="3"/>
        <v>30</v>
      </c>
      <c r="AL95" s="20">
        <f t="shared" si="3"/>
        <v>28</v>
      </c>
      <c r="AM95" s="20">
        <f t="shared" si="3"/>
        <v>23</v>
      </c>
      <c r="AN95" s="20">
        <f t="shared" si="3"/>
        <v>19</v>
      </c>
      <c r="AO95" s="20">
        <f t="shared" si="3"/>
        <v>14</v>
      </c>
      <c r="AP95" s="20">
        <f t="shared" si="3"/>
        <v>10</v>
      </c>
      <c r="AQ95" s="20">
        <f t="shared" si="3"/>
        <v>5</v>
      </c>
      <c r="AR95" s="20">
        <f t="shared" si="3"/>
        <v>0</v>
      </c>
    </row>
    <row r="96" spans="1:44" x14ac:dyDescent="0.3">
      <c r="A96" s="54"/>
      <c r="B96" s="65"/>
      <c r="C96" s="65"/>
      <c r="D96" s="65"/>
      <c r="E96" s="58" t="s">
        <v>44</v>
      </c>
      <c r="F96" s="58"/>
      <c r="G96" s="58">
        <f>SUM(H15:H94)</f>
        <v>186</v>
      </c>
      <c r="H96" s="58"/>
      <c r="I96" s="20">
        <f>SUM(I15:I94)</f>
        <v>178</v>
      </c>
      <c r="J96" s="20">
        <f>SUM(J15:J94)</f>
        <v>163</v>
      </c>
      <c r="K96" s="20">
        <f>SUM(K15:K94)-K21</f>
        <v>151</v>
      </c>
      <c r="L96" s="20">
        <f>SUM(L15:L94)-L22</f>
        <v>143</v>
      </c>
      <c r="M96" s="20">
        <f>SUM(M15:M94)-M30</f>
        <v>133</v>
      </c>
      <c r="N96" s="20">
        <f>SUM(N15:N94)-N30</f>
        <v>122</v>
      </c>
      <c r="O96" s="20">
        <f>SUM(O15:O94)-P39-P42</f>
        <v>119</v>
      </c>
      <c r="P96" s="20">
        <f>SUM(P15:P94)-P39-P42</f>
        <v>104</v>
      </c>
      <c r="Q96" s="20">
        <f>SUM(Q15:Q94)</f>
        <v>100</v>
      </c>
      <c r="R96" s="20">
        <f>SUM(R15:R94)-R46</f>
        <v>92</v>
      </c>
      <c r="S96" s="20">
        <f t="shared" ref="S96:AD96" si="4">SUM(S15:S94)</f>
        <v>84</v>
      </c>
      <c r="T96" s="20">
        <f t="shared" si="4"/>
        <v>81</v>
      </c>
      <c r="U96" s="20">
        <f t="shared" si="4"/>
        <v>81</v>
      </c>
      <c r="V96" s="20">
        <f t="shared" si="4"/>
        <v>79</v>
      </c>
      <c r="W96" s="20">
        <f t="shared" si="4"/>
        <v>77</v>
      </c>
      <c r="X96" s="20">
        <f t="shared" si="4"/>
        <v>72</v>
      </c>
      <c r="Y96" s="20">
        <f t="shared" si="4"/>
        <v>72</v>
      </c>
      <c r="Z96" s="20">
        <f t="shared" si="4"/>
        <v>70</v>
      </c>
      <c r="AA96" s="20">
        <f t="shared" si="4"/>
        <v>65</v>
      </c>
      <c r="AB96" s="20">
        <f t="shared" si="4"/>
        <v>65</v>
      </c>
      <c r="AC96" s="20">
        <f t="shared" si="4"/>
        <v>62</v>
      </c>
      <c r="AD96" s="20">
        <f t="shared" si="4"/>
        <v>59</v>
      </c>
      <c r="AE96" s="20">
        <f>SUM(AE15:AE94)-AE56</f>
        <v>55</v>
      </c>
      <c r="AF96" s="20">
        <f>SUM(AF15:AF94)</f>
        <v>53</v>
      </c>
      <c r="AG96" s="20">
        <f t="shared" ref="AG96:AR96" si="5">SUM(AG15:AG94)</f>
        <v>50</v>
      </c>
      <c r="AH96" s="20">
        <f t="shared" si="5"/>
        <v>43</v>
      </c>
      <c r="AI96" s="20">
        <f t="shared" si="5"/>
        <v>40</v>
      </c>
      <c r="AJ96" s="20">
        <f t="shared" si="5"/>
        <v>33</v>
      </c>
      <c r="AK96" s="20">
        <f t="shared" si="5"/>
        <v>30</v>
      </c>
      <c r="AL96" s="20">
        <f t="shared" si="5"/>
        <v>28</v>
      </c>
      <c r="AM96" s="20">
        <f t="shared" si="5"/>
        <v>23</v>
      </c>
      <c r="AN96" s="20">
        <f t="shared" si="5"/>
        <v>19</v>
      </c>
      <c r="AO96" s="20">
        <f t="shared" si="5"/>
        <v>14</v>
      </c>
      <c r="AP96" s="20">
        <f t="shared" si="5"/>
        <v>10</v>
      </c>
      <c r="AQ96" s="20">
        <f t="shared" si="5"/>
        <v>5</v>
      </c>
      <c r="AR96" s="20">
        <f t="shared" si="5"/>
        <v>0</v>
      </c>
    </row>
  </sheetData>
  <mergeCells count="178">
    <mergeCell ref="B12:C12"/>
    <mergeCell ref="B84:B92"/>
    <mergeCell ref="B93:B94"/>
    <mergeCell ref="C67:D67"/>
    <mergeCell ref="C68:D68"/>
    <mergeCell ref="C69:D69"/>
    <mergeCell ref="C82:D82"/>
    <mergeCell ref="C79:D79"/>
    <mergeCell ref="C78:D78"/>
    <mergeCell ref="C70:D70"/>
    <mergeCell ref="C73:D73"/>
    <mergeCell ref="C75:D75"/>
    <mergeCell ref="C77:D77"/>
    <mergeCell ref="C94:D94"/>
    <mergeCell ref="C92:D92"/>
    <mergeCell ref="C90:D90"/>
    <mergeCell ref="C91:D91"/>
    <mergeCell ref="C71:D71"/>
    <mergeCell ref="C76:D76"/>
    <mergeCell ref="B65:B74"/>
    <mergeCell ref="C66:D66"/>
    <mergeCell ref="A15:A96"/>
    <mergeCell ref="E92:F92"/>
    <mergeCell ref="E93:F93"/>
    <mergeCell ref="E94:F94"/>
    <mergeCell ref="E95:F95"/>
    <mergeCell ref="E96:F96"/>
    <mergeCell ref="E84:F84"/>
    <mergeCell ref="E85:F85"/>
    <mergeCell ref="E87:F87"/>
    <mergeCell ref="E88:F88"/>
    <mergeCell ref="E89:F89"/>
    <mergeCell ref="E77:F77"/>
    <mergeCell ref="E78:F78"/>
    <mergeCell ref="E79:F79"/>
    <mergeCell ref="E44:F44"/>
    <mergeCell ref="E45:F45"/>
    <mergeCell ref="E47:F47"/>
    <mergeCell ref="E48:F48"/>
    <mergeCell ref="E50:F50"/>
    <mergeCell ref="E65:F65"/>
    <mergeCell ref="E64:F64"/>
    <mergeCell ref="E63:F63"/>
    <mergeCell ref="B95:D96"/>
    <mergeCell ref="E82:F82"/>
    <mergeCell ref="E15:F15"/>
    <mergeCell ref="E16:F16"/>
    <mergeCell ref="E17:F17"/>
    <mergeCell ref="E18:F18"/>
    <mergeCell ref="E20:F20"/>
    <mergeCell ref="E21:F21"/>
    <mergeCell ref="E23:F23"/>
    <mergeCell ref="E24:F24"/>
    <mergeCell ref="E43:F43"/>
    <mergeCell ref="E27:F27"/>
    <mergeCell ref="E26:F26"/>
    <mergeCell ref="E38:F38"/>
    <mergeCell ref="E40:F40"/>
    <mergeCell ref="E25:F25"/>
    <mergeCell ref="E29:F29"/>
    <mergeCell ref="E30:F30"/>
    <mergeCell ref="E31:F31"/>
    <mergeCell ref="E42:F42"/>
    <mergeCell ref="E57:F57"/>
    <mergeCell ref="E53:F53"/>
    <mergeCell ref="E58:F58"/>
    <mergeCell ref="C53:D53"/>
    <mergeCell ref="E52:F52"/>
    <mergeCell ref="C43:D43"/>
    <mergeCell ref="C44:D44"/>
    <mergeCell ref="C45:D45"/>
    <mergeCell ref="C33:D33"/>
    <mergeCell ref="C34:D34"/>
    <mergeCell ref="C35:D35"/>
    <mergeCell ref="C36:D36"/>
    <mergeCell ref="C37:D37"/>
    <mergeCell ref="C52:D52"/>
    <mergeCell ref="C56:D56"/>
    <mergeCell ref="E56:F56"/>
    <mergeCell ref="A1:B1"/>
    <mergeCell ref="A2:B2"/>
    <mergeCell ref="A3:B3"/>
    <mergeCell ref="A4:B4"/>
    <mergeCell ref="C18:D18"/>
    <mergeCell ref="G95:H95"/>
    <mergeCell ref="B75:B83"/>
    <mergeCell ref="B6:E6"/>
    <mergeCell ref="C14:D14"/>
    <mergeCell ref="E14:F14"/>
    <mergeCell ref="B15:D15"/>
    <mergeCell ref="B16:D16"/>
    <mergeCell ref="C20:D20"/>
    <mergeCell ref="C21:D21"/>
    <mergeCell ref="C23:D23"/>
    <mergeCell ref="C24:D24"/>
    <mergeCell ref="C25:D25"/>
    <mergeCell ref="C29:D29"/>
    <mergeCell ref="C30:D30"/>
    <mergeCell ref="C31:D31"/>
    <mergeCell ref="E34:F34"/>
    <mergeCell ref="E67:F67"/>
    <mergeCell ref="B17:D17"/>
    <mergeCell ref="G96:H96"/>
    <mergeCell ref="B44:B64"/>
    <mergeCell ref="C93:D93"/>
    <mergeCell ref="C89:D89"/>
    <mergeCell ref="C88:D88"/>
    <mergeCell ref="C87:D87"/>
    <mergeCell ref="C85:D85"/>
    <mergeCell ref="C84:D84"/>
    <mergeCell ref="C83:D83"/>
    <mergeCell ref="C54:D54"/>
    <mergeCell ref="C55:D55"/>
    <mergeCell ref="C57:D57"/>
    <mergeCell ref="C47:D47"/>
    <mergeCell ref="C50:D50"/>
    <mergeCell ref="C48:D48"/>
    <mergeCell ref="C51:D51"/>
    <mergeCell ref="C63:D63"/>
    <mergeCell ref="C65:D65"/>
    <mergeCell ref="C58:D58"/>
    <mergeCell ref="C64:D64"/>
    <mergeCell ref="E54:F54"/>
    <mergeCell ref="E55:F55"/>
    <mergeCell ref="E90:F90"/>
    <mergeCell ref="E51:F51"/>
    <mergeCell ref="E91:F91"/>
    <mergeCell ref="E83:F83"/>
    <mergeCell ref="E73:F73"/>
    <mergeCell ref="E75:F75"/>
    <mergeCell ref="E68:F68"/>
    <mergeCell ref="E69:F69"/>
    <mergeCell ref="E70:F70"/>
    <mergeCell ref="C72:D72"/>
    <mergeCell ref="E72:F72"/>
    <mergeCell ref="E71:F71"/>
    <mergeCell ref="C80:D80"/>
    <mergeCell ref="C81:D81"/>
    <mergeCell ref="E80:F80"/>
    <mergeCell ref="E81:F81"/>
    <mergeCell ref="E76:F76"/>
    <mergeCell ref="C86:D86"/>
    <mergeCell ref="E86:F86"/>
    <mergeCell ref="B18:B30"/>
    <mergeCell ref="E33:F33"/>
    <mergeCell ref="E35:F35"/>
    <mergeCell ref="E36:F36"/>
    <mergeCell ref="E37:F37"/>
    <mergeCell ref="C42:D42"/>
    <mergeCell ref="E49:F49"/>
    <mergeCell ref="C49:D49"/>
    <mergeCell ref="C19:D19"/>
    <mergeCell ref="E19:F19"/>
    <mergeCell ref="E28:F28"/>
    <mergeCell ref="C32:D32"/>
    <mergeCell ref="E32:F32"/>
    <mergeCell ref="C41:D41"/>
    <mergeCell ref="E41:F41"/>
    <mergeCell ref="C46:D46"/>
    <mergeCell ref="E46:F46"/>
    <mergeCell ref="C27:D27"/>
    <mergeCell ref="C26:D26"/>
    <mergeCell ref="C38:D38"/>
    <mergeCell ref="C40:D40"/>
    <mergeCell ref="B31:B43"/>
    <mergeCell ref="C22:D22"/>
    <mergeCell ref="E22:F22"/>
    <mergeCell ref="E66:F66"/>
    <mergeCell ref="C74:D74"/>
    <mergeCell ref="E74:F74"/>
    <mergeCell ref="C61:D61"/>
    <mergeCell ref="C62:D62"/>
    <mergeCell ref="E61:F61"/>
    <mergeCell ref="E62:F62"/>
    <mergeCell ref="C59:D59"/>
    <mergeCell ref="C60:D60"/>
    <mergeCell ref="E59:F59"/>
    <mergeCell ref="E60:F60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5"/>
  <sheetViews>
    <sheetView zoomScale="85" zoomScaleNormal="85" workbookViewId="0">
      <selection activeCell="B6" sqref="B6:E12"/>
    </sheetView>
  </sheetViews>
  <sheetFormatPr defaultRowHeight="14.4" x14ac:dyDescent="0.3"/>
  <cols>
    <col min="1" max="1" width="13.5546875" customWidth="1"/>
    <col min="2" max="2" width="21.109375" customWidth="1"/>
    <col min="3" max="3" width="55.88671875" customWidth="1"/>
    <col min="4" max="4" width="12" customWidth="1"/>
    <col min="5" max="5" width="10.33203125" customWidth="1"/>
    <col min="6" max="6" width="20.109375" customWidth="1"/>
    <col min="7" max="8" width="6.109375" customWidth="1"/>
    <col min="9" max="15" width="6" customWidth="1"/>
    <col min="16" max="16" width="6.109375" customWidth="1"/>
    <col min="17" max="24" width="6" customWidth="1"/>
    <col min="25" max="25" width="6.109375" customWidth="1"/>
  </cols>
  <sheetData>
    <row r="1" spans="1:54" ht="67.8" thickBot="1" x14ac:dyDescent="0.35">
      <c r="A1" s="73" t="s">
        <v>3</v>
      </c>
      <c r="B1" s="73"/>
      <c r="C1" s="35" t="s">
        <v>166</v>
      </c>
      <c r="D1" s="1"/>
      <c r="E1" s="9"/>
      <c r="F1" s="10" t="s">
        <v>52</v>
      </c>
    </row>
    <row r="2" spans="1:54" ht="25.2" customHeight="1" thickBot="1" x14ac:dyDescent="0.35">
      <c r="A2" s="60" t="s">
        <v>2</v>
      </c>
      <c r="B2" s="60"/>
      <c r="C2" s="3" t="s">
        <v>33</v>
      </c>
      <c r="D2" s="1"/>
      <c r="E2" s="11"/>
      <c r="F2" s="12" t="s">
        <v>51</v>
      </c>
    </row>
    <row r="3" spans="1:54" ht="22.8" customHeight="1" thickBot="1" x14ac:dyDescent="0.35">
      <c r="A3" s="60" t="s">
        <v>1</v>
      </c>
      <c r="B3" s="60"/>
      <c r="C3" s="4">
        <v>45699</v>
      </c>
      <c r="D3" s="1"/>
      <c r="E3" s="13"/>
      <c r="F3" s="12" t="s">
        <v>50</v>
      </c>
    </row>
    <row r="4" spans="1:54" ht="16.8" customHeight="1" thickBot="1" x14ac:dyDescent="0.35">
      <c r="A4" s="60" t="s">
        <v>0</v>
      </c>
      <c r="B4" s="60"/>
      <c r="C4" s="46">
        <v>46003</v>
      </c>
      <c r="D4" s="1"/>
      <c r="E4" s="14"/>
      <c r="F4" s="12" t="s">
        <v>49</v>
      </c>
    </row>
    <row r="5" spans="1:54" ht="23.4" customHeight="1" thickBot="1" x14ac:dyDescent="0.35">
      <c r="A5" s="1"/>
      <c r="B5" s="1"/>
      <c r="C5" s="1"/>
      <c r="D5" s="1"/>
      <c r="E5" s="15"/>
      <c r="F5" s="16" t="s">
        <v>48</v>
      </c>
    </row>
    <row r="6" spans="1:54" ht="31.2" customHeight="1" thickBot="1" x14ac:dyDescent="0.35">
      <c r="A6" s="1"/>
      <c r="B6" s="61" t="s">
        <v>34</v>
      </c>
      <c r="C6" s="61"/>
      <c r="D6" s="61"/>
      <c r="E6" s="62"/>
    </row>
    <row r="7" spans="1:54" ht="45" customHeight="1" thickBot="1" x14ac:dyDescent="0.35">
      <c r="A7" s="1"/>
      <c r="B7" s="6" t="s">
        <v>5</v>
      </c>
      <c r="C7" s="6" t="s">
        <v>45</v>
      </c>
      <c r="D7" s="6" t="s">
        <v>10</v>
      </c>
      <c r="E7" s="6" t="s">
        <v>44</v>
      </c>
    </row>
    <row r="8" spans="1:54" ht="30.6" customHeight="1" thickBot="1" x14ac:dyDescent="0.35">
      <c r="A8" s="1"/>
      <c r="B8" s="7">
        <v>1</v>
      </c>
      <c r="C8" s="7" t="s">
        <v>165</v>
      </c>
      <c r="D8" s="3">
        <f ca="1">SUMIF($E$15:$F$82,"Viên",$G$15:$G$82)+SUMIF($E$15:$F$82,"All team",$G$15:$G$82)/4+SUMIF($E$15:$F$82,"Hoàng, Viên",$G$15:$G$82)/2+SUMIF($E$15:$F$82,"Viên, Vinh",$G$15:$G$82)/2</f>
        <v>27.25</v>
      </c>
      <c r="E8" s="3">
        <f ca="1">SUMIF($E$15:$F$82,"Viên",$H$15:$H$82)+SUMIF($E$15:$F$82,"All team",$H$15:$H$82)/4+SUMIF($E$15:$F$82,"Hoàng, Viên",$H$15:$H$82)/2+SUMIF($E$15:$F$82,"Viên, Vinh",$H$15:$H$82)/2</f>
        <v>39.5</v>
      </c>
    </row>
    <row r="9" spans="1:54" ht="24.6" customHeight="1" thickBot="1" x14ac:dyDescent="0.35">
      <c r="A9" s="1"/>
      <c r="B9" s="7">
        <v>2</v>
      </c>
      <c r="C9" s="7" t="s">
        <v>167</v>
      </c>
      <c r="D9" s="3">
        <f ca="1">SUMIF($E$15:$F$82,"Trình",$G$15:$G$82)+SUMIF($E$15:$F$82,"All team",$G$15:$G$82)/4+SUMIF($E$15:$F$82,"Trình,Vinh",$G$15:$G$82)/2+SUMIF($E$15:$F$82,"Trình,  Hoàng",$G$15:$G$82)/2</f>
        <v>25.25</v>
      </c>
      <c r="E9" s="3">
        <f ca="1">SUMIF($E$15:$F$82,"Trình",$H$15:$H$82)+SUMIF($E$15:$F$82,"All team",$H$15:$H$82)/4+SUMIF($E$15:$F$82,"Trình, Hoàng",$H$15:$H$82)/2+SUMIF($E$15:$F$82,"Trình,Vinh",$H$15:$H$82)/2</f>
        <v>31.5</v>
      </c>
    </row>
    <row r="10" spans="1:54" ht="22.2" customHeight="1" thickBot="1" x14ac:dyDescent="0.35">
      <c r="A10" s="1"/>
      <c r="B10" s="7">
        <v>3</v>
      </c>
      <c r="C10" s="7" t="s">
        <v>168</v>
      </c>
      <c r="D10" s="3">
        <f ca="1">SUMIF($E$15:$F$82,"Vinh",$G$15:$G$82)+SUMIF($E$15:$F$82,"All team",$G$15:$G$82)/4+SUMIF($E$15:$F$82,"Vinh, Hoàng",$G$15:$G$82)/2+SUMIF($E$15:$F$82,"Trình, Vinh",$G$15:$G$82)/2+SUMIF($E$15:$F$82,"Viên, Vinh",$G$15:$G$82)/2</f>
        <v>19.25</v>
      </c>
      <c r="E10" s="3">
        <f ca="1">SUMIF($E$15:$F$82,"Vinh",$H$15:$H$82)+SUMIF($E$15:$F$82,"All team",$H$15:$H$82)/4+SUMIF($E$15:$F$82,"Vinh, Hoàng",$H$15:$H$82)/2+SUMIF($E$15:$F$82,"Trình, Vinh",$G$15:$G$82)/2+SUMIF($E$15:$F$82,"Viên, Vinh",$G$15:$G$82)/2</f>
        <v>21.5</v>
      </c>
    </row>
    <row r="11" spans="1:54" ht="22.8" customHeight="1" thickBot="1" x14ac:dyDescent="0.35">
      <c r="A11" s="1"/>
      <c r="B11" s="7">
        <v>4</v>
      </c>
      <c r="C11" s="7" t="s">
        <v>169</v>
      </c>
      <c r="D11" s="3">
        <f ca="1">SUMIF($E$15:$F$82,"Hoàng",$G$15:$G$82)+SUMIF($E$15:$F$82,"All team",$G$15:$G$82)/4+SUMIF($E$15:$F$82,"Trình, Hoàng",$G$15:$G$82)/2+SUMIF($E$15:$F$82,"Hoàng, Viên",$G$15:$G$82)/2+SUMIF($E$15:$F$82,"Vinh, Hoàng",$G$15:$G$82)/2</f>
        <v>29.75</v>
      </c>
      <c r="E11" s="3">
        <f ca="1">SUMIF($E$15:$F$82,"Hoàng",$H$15:$H$82)+SUMIF($E$15:$F$82,"All team",$H$15:$H$82)/4+SUMIF($E$15:$F$82,"Trình, Hoàng",$H$15:$H$82)/2+SUMIF($E$15:$F$82,"Hoàng, Viên",$H$15:$H$82)/2+SUMIF($E$15:$F$82,"Vinh, Hoàng",$H$15:$H$82)/2</f>
        <v>33</v>
      </c>
    </row>
    <row r="12" spans="1:54" ht="34.200000000000003" customHeight="1" thickBot="1" x14ac:dyDescent="0.35">
      <c r="A12" s="1"/>
      <c r="B12" s="63" t="s">
        <v>11</v>
      </c>
      <c r="C12" s="63"/>
      <c r="D12" s="5">
        <f ca="1">SUM(D8:D11)</f>
        <v>101.5</v>
      </c>
      <c r="E12" s="5">
        <f ca="1">SUM(E8:E11)</f>
        <v>125.5</v>
      </c>
    </row>
    <row r="13" spans="1:54" ht="29.4" customHeight="1" x14ac:dyDescent="0.3"/>
    <row r="14" spans="1:54" ht="63.75" customHeight="1" x14ac:dyDescent="0.3">
      <c r="A14" s="24" t="s">
        <v>6</v>
      </c>
      <c r="B14" s="24" t="s">
        <v>7</v>
      </c>
      <c r="C14" s="72" t="s">
        <v>8</v>
      </c>
      <c r="D14" s="72"/>
      <c r="E14" s="72" t="s">
        <v>9</v>
      </c>
      <c r="F14" s="72"/>
      <c r="G14" s="18" t="s">
        <v>10</v>
      </c>
      <c r="H14" s="18" t="s">
        <v>44</v>
      </c>
      <c r="I14" s="19">
        <v>45598</v>
      </c>
      <c r="J14" s="19">
        <v>45599</v>
      </c>
      <c r="K14" s="19">
        <v>45600</v>
      </c>
      <c r="L14" s="19">
        <v>45601</v>
      </c>
      <c r="M14" s="19">
        <v>45602</v>
      </c>
      <c r="N14" s="19">
        <v>45603</v>
      </c>
      <c r="O14" s="19">
        <v>45604</v>
      </c>
      <c r="P14" s="19">
        <v>45605</v>
      </c>
      <c r="Q14" s="19">
        <v>45606</v>
      </c>
      <c r="R14" s="19">
        <v>45607</v>
      </c>
      <c r="S14" s="19">
        <v>45608</v>
      </c>
      <c r="T14" s="19">
        <v>45609</v>
      </c>
      <c r="U14" s="19">
        <v>45610</v>
      </c>
      <c r="V14" s="19">
        <v>45611</v>
      </c>
      <c r="W14" s="19">
        <v>45612</v>
      </c>
      <c r="X14" s="19">
        <v>45613</v>
      </c>
      <c r="Y14" s="19">
        <v>45614</v>
      </c>
      <c r="Z14" s="19">
        <v>45615</v>
      </c>
      <c r="AA14" s="19">
        <v>45616</v>
      </c>
      <c r="AB14" s="19">
        <v>45617</v>
      </c>
      <c r="AC14" s="19">
        <v>45618</v>
      </c>
      <c r="AD14" s="19">
        <v>45619</v>
      </c>
      <c r="AE14" s="19">
        <v>45620</v>
      </c>
      <c r="AF14" s="19">
        <v>45621</v>
      </c>
      <c r="AG14" s="19">
        <v>45622</v>
      </c>
      <c r="AH14" s="19">
        <v>45623</v>
      </c>
      <c r="AI14" s="19">
        <v>45624</v>
      </c>
      <c r="AJ14" s="19">
        <v>45625</v>
      </c>
      <c r="AK14" s="19">
        <v>45626</v>
      </c>
      <c r="AL14" s="19">
        <v>45627</v>
      </c>
      <c r="AM14" s="19">
        <v>45628</v>
      </c>
      <c r="AN14" s="19">
        <v>45629</v>
      </c>
      <c r="AO14" s="19">
        <v>45630</v>
      </c>
      <c r="AP14" s="19">
        <v>45631</v>
      </c>
      <c r="AQ14" s="19">
        <v>45632</v>
      </c>
      <c r="AR14" s="19">
        <v>45633</v>
      </c>
      <c r="AS14" s="19">
        <v>45634</v>
      </c>
      <c r="AT14" s="19">
        <v>45635</v>
      </c>
      <c r="AU14" s="19">
        <v>45636</v>
      </c>
      <c r="AV14" s="19">
        <v>45637</v>
      </c>
      <c r="AW14" s="19">
        <v>45638</v>
      </c>
      <c r="AX14" s="2"/>
      <c r="AY14" s="2"/>
      <c r="AZ14" s="2"/>
      <c r="BA14" s="2"/>
      <c r="BB14" s="2"/>
    </row>
    <row r="15" spans="1:54" ht="16.8" x14ac:dyDescent="0.3">
      <c r="A15" s="54" t="s">
        <v>33</v>
      </c>
      <c r="B15" s="53" t="s">
        <v>119</v>
      </c>
      <c r="C15" s="53"/>
      <c r="D15" s="53"/>
      <c r="E15" s="48" t="s">
        <v>43</v>
      </c>
      <c r="F15" s="48"/>
      <c r="G15" s="20">
        <v>10</v>
      </c>
      <c r="H15" s="20">
        <v>10</v>
      </c>
      <c r="I15" s="21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</row>
    <row r="16" spans="1:54" ht="16.8" x14ac:dyDescent="0.3">
      <c r="A16" s="54"/>
      <c r="B16" s="53" t="s">
        <v>40</v>
      </c>
      <c r="C16" s="53"/>
      <c r="D16" s="53"/>
      <c r="E16" s="48" t="s">
        <v>118</v>
      </c>
      <c r="F16" s="48"/>
      <c r="G16" s="20">
        <v>2</v>
      </c>
      <c r="H16" s="20">
        <v>4</v>
      </c>
      <c r="I16" s="20">
        <v>2</v>
      </c>
      <c r="J16" s="20">
        <v>2</v>
      </c>
      <c r="K16" s="21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</row>
    <row r="17" spans="1:49" ht="16.8" x14ac:dyDescent="0.3">
      <c r="A17" s="54"/>
      <c r="B17" s="48"/>
      <c r="C17" s="48"/>
      <c r="D17" s="48"/>
      <c r="E17" s="48"/>
      <c r="F17" s="48"/>
      <c r="G17" s="20"/>
      <c r="H17" s="20"/>
      <c r="I17" s="20"/>
      <c r="J17" s="20"/>
      <c r="K17" s="22">
        <v>2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</row>
    <row r="18" spans="1:49" ht="16.8" x14ac:dyDescent="0.3">
      <c r="A18" s="54"/>
      <c r="B18" s="53" t="s">
        <v>120</v>
      </c>
      <c r="C18" s="53"/>
      <c r="D18" s="53"/>
      <c r="E18" s="48" t="s">
        <v>173</v>
      </c>
      <c r="F18" s="48"/>
      <c r="G18" s="20">
        <v>4</v>
      </c>
      <c r="H18" s="20">
        <v>4</v>
      </c>
      <c r="I18" s="20">
        <v>4</v>
      </c>
      <c r="J18" s="20">
        <v>4</v>
      </c>
      <c r="K18" s="21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</row>
    <row r="19" spans="1:49" ht="17.25" customHeight="1" x14ac:dyDescent="0.3">
      <c r="A19" s="54"/>
      <c r="B19" s="54" t="s">
        <v>17</v>
      </c>
      <c r="C19" s="53" t="s">
        <v>121</v>
      </c>
      <c r="D19" s="53"/>
      <c r="E19" s="48" t="s">
        <v>67</v>
      </c>
      <c r="F19" s="48"/>
      <c r="G19" s="20">
        <v>2</v>
      </c>
      <c r="H19" s="20">
        <v>4</v>
      </c>
      <c r="I19" s="20">
        <v>2</v>
      </c>
      <c r="J19" s="20">
        <v>2</v>
      </c>
      <c r="K19" s="20">
        <v>2</v>
      </c>
      <c r="L19" s="21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</row>
    <row r="20" spans="1:49" ht="16.8" x14ac:dyDescent="0.3">
      <c r="A20" s="54"/>
      <c r="B20" s="54"/>
      <c r="C20" s="53" t="s">
        <v>122</v>
      </c>
      <c r="D20" s="53"/>
      <c r="E20" s="48" t="s">
        <v>65</v>
      </c>
      <c r="F20" s="48"/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0">
        <v>1</v>
      </c>
      <c r="M20" s="21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</row>
    <row r="21" spans="1:49" ht="16.8" x14ac:dyDescent="0.3">
      <c r="A21" s="54"/>
      <c r="B21" s="54"/>
      <c r="C21" s="53" t="s">
        <v>123</v>
      </c>
      <c r="D21" s="53"/>
      <c r="E21" s="48" t="s">
        <v>61</v>
      </c>
      <c r="F21" s="48"/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0">
        <v>1</v>
      </c>
      <c r="M21" s="21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</row>
    <row r="22" spans="1:49" ht="16.8" x14ac:dyDescent="0.3">
      <c r="A22" s="54"/>
      <c r="B22" s="54"/>
      <c r="C22" s="53" t="s">
        <v>124</v>
      </c>
      <c r="D22" s="53"/>
      <c r="E22" s="48" t="s">
        <v>61</v>
      </c>
      <c r="F22" s="48"/>
      <c r="G22" s="20">
        <v>2</v>
      </c>
      <c r="H22" s="20">
        <v>2</v>
      </c>
      <c r="I22" s="20">
        <v>2</v>
      </c>
      <c r="J22" s="20">
        <v>2</v>
      </c>
      <c r="K22" s="20">
        <v>2</v>
      </c>
      <c r="L22" s="20">
        <v>2</v>
      </c>
      <c r="M22" s="20">
        <v>2</v>
      </c>
      <c r="N22" s="21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</row>
    <row r="23" spans="1:49" ht="16.8" x14ac:dyDescent="0.3">
      <c r="A23" s="54"/>
      <c r="B23" s="54"/>
      <c r="C23" s="53" t="s">
        <v>125</v>
      </c>
      <c r="D23" s="53"/>
      <c r="E23" s="48" t="s">
        <v>65</v>
      </c>
      <c r="F23" s="48"/>
      <c r="G23" s="20">
        <v>1</v>
      </c>
      <c r="H23" s="20">
        <v>1</v>
      </c>
      <c r="I23" s="20">
        <v>1</v>
      </c>
      <c r="J23" s="20">
        <v>1</v>
      </c>
      <c r="K23" s="20">
        <v>1</v>
      </c>
      <c r="L23" s="20">
        <v>1</v>
      </c>
      <c r="M23" s="20">
        <v>1</v>
      </c>
      <c r="N23" s="20">
        <v>1</v>
      </c>
      <c r="O23" s="21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</row>
    <row r="24" spans="1:49" ht="16.8" x14ac:dyDescent="0.3">
      <c r="A24" s="54"/>
      <c r="B24" s="54"/>
      <c r="C24" s="53" t="s">
        <v>126</v>
      </c>
      <c r="D24" s="53"/>
      <c r="E24" s="48" t="s">
        <v>56</v>
      </c>
      <c r="F24" s="48"/>
      <c r="G24" s="20">
        <v>1</v>
      </c>
      <c r="H24" s="20">
        <v>1</v>
      </c>
      <c r="I24" s="20">
        <v>2</v>
      </c>
      <c r="J24" s="20">
        <v>2</v>
      </c>
      <c r="K24" s="20">
        <v>2</v>
      </c>
      <c r="L24" s="20">
        <v>2</v>
      </c>
      <c r="M24" s="20">
        <v>2</v>
      </c>
      <c r="N24" s="20">
        <v>2</v>
      </c>
      <c r="O24" s="21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</row>
    <row r="25" spans="1:49" ht="16.8" x14ac:dyDescent="0.3">
      <c r="A25" s="54"/>
      <c r="B25" s="54"/>
      <c r="C25" s="56" t="s">
        <v>127</v>
      </c>
      <c r="D25" s="57"/>
      <c r="E25" s="48" t="s">
        <v>56</v>
      </c>
      <c r="F25" s="48"/>
      <c r="G25" s="20">
        <v>1</v>
      </c>
      <c r="H25" s="20">
        <v>1</v>
      </c>
      <c r="I25" s="20">
        <v>2</v>
      </c>
      <c r="J25" s="20">
        <v>2</v>
      </c>
      <c r="K25" s="20">
        <v>2</v>
      </c>
      <c r="L25" s="20">
        <v>2</v>
      </c>
      <c r="M25" s="20">
        <v>2</v>
      </c>
      <c r="N25" s="20">
        <v>2</v>
      </c>
      <c r="O25" s="20">
        <v>2</v>
      </c>
      <c r="P25" s="21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</row>
    <row r="26" spans="1:49" ht="16.8" x14ac:dyDescent="0.3">
      <c r="A26" s="54"/>
      <c r="B26" s="54"/>
      <c r="C26" s="53" t="s">
        <v>41</v>
      </c>
      <c r="D26" s="53"/>
      <c r="E26" s="48" t="s">
        <v>43</v>
      </c>
      <c r="F26" s="48"/>
      <c r="G26" s="20">
        <v>5</v>
      </c>
      <c r="H26" s="20">
        <v>10</v>
      </c>
      <c r="I26" s="20">
        <v>5</v>
      </c>
      <c r="J26" s="20">
        <v>5</v>
      </c>
      <c r="K26" s="20">
        <v>5</v>
      </c>
      <c r="L26" s="20">
        <v>5</v>
      </c>
      <c r="M26" s="20">
        <v>5</v>
      </c>
      <c r="N26" s="20">
        <v>5</v>
      </c>
      <c r="O26" s="20">
        <v>5</v>
      </c>
      <c r="P26" s="20">
        <v>5</v>
      </c>
      <c r="Q26" s="20">
        <v>5</v>
      </c>
      <c r="R26" s="21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</row>
    <row r="27" spans="1:49" ht="16.8" x14ac:dyDescent="0.3">
      <c r="A27" s="54"/>
      <c r="B27" s="54"/>
      <c r="C27" s="48"/>
      <c r="D27" s="48"/>
      <c r="E27" s="48"/>
      <c r="F27" s="48"/>
      <c r="G27" s="20"/>
      <c r="H27" s="20"/>
      <c r="I27" s="20"/>
      <c r="J27" s="8"/>
      <c r="K27" s="44">
        <v>0</v>
      </c>
      <c r="L27" s="20"/>
      <c r="M27" s="20"/>
      <c r="N27" s="20"/>
      <c r="O27" s="20"/>
      <c r="P27" s="20"/>
      <c r="Q27" s="20"/>
      <c r="R27" s="22">
        <v>5</v>
      </c>
      <c r="S27" s="20"/>
      <c r="T27" s="20"/>
      <c r="U27" s="20"/>
      <c r="V27" s="20"/>
      <c r="W27" s="20"/>
      <c r="X27" s="20"/>
      <c r="Y27" s="20"/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</row>
    <row r="28" spans="1:49" ht="16.8" x14ac:dyDescent="0.3">
      <c r="A28" s="54"/>
      <c r="B28" s="54" t="s">
        <v>22</v>
      </c>
      <c r="C28" s="53" t="s">
        <v>128</v>
      </c>
      <c r="D28" s="53"/>
      <c r="E28" s="48" t="s">
        <v>56</v>
      </c>
      <c r="F28" s="48"/>
      <c r="G28" s="20">
        <v>2</v>
      </c>
      <c r="H28" s="20">
        <v>3</v>
      </c>
      <c r="I28" s="20">
        <v>2</v>
      </c>
      <c r="J28" s="20">
        <v>2</v>
      </c>
      <c r="K28" s="20">
        <v>2</v>
      </c>
      <c r="L28" s="20">
        <v>2</v>
      </c>
      <c r="M28" s="20">
        <v>2</v>
      </c>
      <c r="N28" s="20">
        <v>2</v>
      </c>
      <c r="O28" s="20">
        <v>2</v>
      </c>
      <c r="P28" s="20">
        <v>2</v>
      </c>
      <c r="Q28" s="20">
        <v>2</v>
      </c>
      <c r="R28" s="20">
        <v>2</v>
      </c>
      <c r="S28" s="21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</row>
    <row r="29" spans="1:49" ht="16.8" x14ac:dyDescent="0.3">
      <c r="A29" s="54"/>
      <c r="B29" s="54"/>
      <c r="C29" s="51"/>
      <c r="D29" s="52"/>
      <c r="E29" s="51"/>
      <c r="F29" s="52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2">
        <v>1</v>
      </c>
      <c r="T29" s="20"/>
      <c r="U29" s="20"/>
      <c r="V29" s="20"/>
      <c r="W29" s="20"/>
      <c r="X29" s="20"/>
      <c r="Y29" s="20"/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</row>
    <row r="30" spans="1:49" ht="16.8" x14ac:dyDescent="0.3">
      <c r="A30" s="54"/>
      <c r="B30" s="54"/>
      <c r="C30" s="53" t="s">
        <v>129</v>
      </c>
      <c r="D30" s="53"/>
      <c r="E30" s="48" t="s">
        <v>56</v>
      </c>
      <c r="F30" s="48"/>
      <c r="G30" s="20">
        <v>1</v>
      </c>
      <c r="H30" s="20">
        <v>2</v>
      </c>
      <c r="I30" s="20">
        <v>1</v>
      </c>
      <c r="J30" s="20">
        <v>1</v>
      </c>
      <c r="K30" s="20">
        <v>1</v>
      </c>
      <c r="L30" s="20">
        <v>1</v>
      </c>
      <c r="M30" s="20">
        <v>1</v>
      </c>
      <c r="N30" s="20">
        <v>1</v>
      </c>
      <c r="O30" s="20">
        <v>1</v>
      </c>
      <c r="P30" s="20">
        <v>1</v>
      </c>
      <c r="Q30" s="20">
        <v>1</v>
      </c>
      <c r="R30" s="20">
        <v>1</v>
      </c>
      <c r="S30" s="21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</row>
    <row r="31" spans="1:49" ht="16.8" x14ac:dyDescent="0.3">
      <c r="A31" s="54"/>
      <c r="B31" s="54"/>
      <c r="C31" s="48"/>
      <c r="D31" s="48"/>
      <c r="E31" s="48"/>
      <c r="F31" s="48"/>
      <c r="G31" s="20"/>
      <c r="H31" s="20"/>
      <c r="I31" s="20"/>
      <c r="J31" s="20"/>
      <c r="K31" s="8"/>
      <c r="L31" s="47"/>
      <c r="M31" s="20"/>
      <c r="N31" s="20"/>
      <c r="O31" s="20"/>
      <c r="P31" s="20"/>
      <c r="Q31" s="20"/>
      <c r="R31" s="20"/>
      <c r="S31" s="22">
        <v>1</v>
      </c>
      <c r="T31" s="20"/>
      <c r="U31" s="20"/>
      <c r="V31" s="20"/>
      <c r="W31" s="20"/>
      <c r="X31" s="20"/>
      <c r="Y31" s="20"/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</row>
    <row r="32" spans="1:49" ht="16.8" x14ac:dyDescent="0.3">
      <c r="A32" s="54"/>
      <c r="B32" s="54"/>
      <c r="C32" s="53" t="s">
        <v>130</v>
      </c>
      <c r="D32" s="53"/>
      <c r="E32" s="48" t="s">
        <v>65</v>
      </c>
      <c r="F32" s="48"/>
      <c r="G32" s="20">
        <v>1</v>
      </c>
      <c r="H32" s="20">
        <v>2</v>
      </c>
      <c r="I32" s="20">
        <v>1</v>
      </c>
      <c r="J32" s="20">
        <v>1</v>
      </c>
      <c r="K32" s="20">
        <v>1</v>
      </c>
      <c r="L32" s="20">
        <v>1</v>
      </c>
      <c r="M32" s="20">
        <v>1</v>
      </c>
      <c r="N32" s="20">
        <v>1</v>
      </c>
      <c r="O32" s="20">
        <v>1</v>
      </c>
      <c r="P32" s="20">
        <v>1</v>
      </c>
      <c r="Q32" s="20">
        <v>1</v>
      </c>
      <c r="R32" s="20">
        <v>1</v>
      </c>
      <c r="S32" s="21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</row>
    <row r="33" spans="1:49" ht="16.8" x14ac:dyDescent="0.3">
      <c r="A33" s="54"/>
      <c r="B33" s="54"/>
      <c r="C33" s="51"/>
      <c r="D33" s="52"/>
      <c r="E33" s="51"/>
      <c r="F33" s="52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2">
        <v>1</v>
      </c>
      <c r="T33" s="20"/>
      <c r="U33" s="20"/>
      <c r="V33" s="20"/>
      <c r="W33" s="20"/>
      <c r="X33" s="20"/>
      <c r="Y33" s="20"/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</row>
    <row r="34" spans="1:49" ht="16.8" x14ac:dyDescent="0.3">
      <c r="A34" s="54"/>
      <c r="B34" s="54"/>
      <c r="C34" s="53" t="s">
        <v>131</v>
      </c>
      <c r="D34" s="53"/>
      <c r="E34" s="48" t="s">
        <v>65</v>
      </c>
      <c r="F34" s="48"/>
      <c r="G34" s="20">
        <v>1</v>
      </c>
      <c r="H34" s="20">
        <v>2</v>
      </c>
      <c r="I34" s="20">
        <v>1</v>
      </c>
      <c r="J34" s="20">
        <v>1</v>
      </c>
      <c r="K34" s="20">
        <v>1</v>
      </c>
      <c r="L34" s="20">
        <v>1</v>
      </c>
      <c r="M34" s="20">
        <v>1</v>
      </c>
      <c r="N34" s="20">
        <v>1</v>
      </c>
      <c r="O34" s="20">
        <v>1</v>
      </c>
      <c r="P34" s="20">
        <v>1</v>
      </c>
      <c r="Q34" s="20">
        <v>1</v>
      </c>
      <c r="R34" s="20">
        <v>1</v>
      </c>
      <c r="S34" s="21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</row>
    <row r="35" spans="1:49" ht="16.8" x14ac:dyDescent="0.3">
      <c r="A35" s="54"/>
      <c r="B35" s="54"/>
      <c r="C35" s="51"/>
      <c r="D35" s="52"/>
      <c r="E35" s="51"/>
      <c r="F35" s="52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2">
        <v>1</v>
      </c>
      <c r="T35" s="20"/>
      <c r="U35" s="20"/>
      <c r="V35" s="20"/>
      <c r="W35" s="20"/>
      <c r="X35" s="20"/>
      <c r="Y35" s="20"/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</row>
    <row r="36" spans="1:49" ht="16.8" x14ac:dyDescent="0.3">
      <c r="A36" s="54"/>
      <c r="B36" s="54"/>
      <c r="C36" s="53" t="s">
        <v>133</v>
      </c>
      <c r="D36" s="53"/>
      <c r="E36" s="48" t="s">
        <v>67</v>
      </c>
      <c r="F36" s="48"/>
      <c r="G36" s="20">
        <v>1</v>
      </c>
      <c r="H36" s="20">
        <v>2</v>
      </c>
      <c r="I36" s="20">
        <v>1</v>
      </c>
      <c r="J36" s="20">
        <v>1</v>
      </c>
      <c r="K36" s="20">
        <v>1</v>
      </c>
      <c r="L36" s="20">
        <v>1</v>
      </c>
      <c r="M36" s="20">
        <v>1</v>
      </c>
      <c r="N36" s="20">
        <v>1</v>
      </c>
      <c r="O36" s="20">
        <v>1</v>
      </c>
      <c r="P36" s="20">
        <v>1</v>
      </c>
      <c r="Q36" s="20">
        <v>1</v>
      </c>
      <c r="R36" s="20">
        <v>1</v>
      </c>
      <c r="S36" s="20">
        <v>1</v>
      </c>
      <c r="T36" s="21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</row>
    <row r="37" spans="1:49" ht="16.8" x14ac:dyDescent="0.3">
      <c r="A37" s="54"/>
      <c r="B37" s="54"/>
      <c r="C37" s="51"/>
      <c r="D37" s="52"/>
      <c r="E37" s="51"/>
      <c r="F37" s="52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2">
        <v>1</v>
      </c>
      <c r="U37" s="20"/>
      <c r="V37" s="20"/>
      <c r="W37" s="20"/>
      <c r="X37" s="20"/>
      <c r="Y37" s="20"/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</row>
    <row r="38" spans="1:49" ht="16.8" x14ac:dyDescent="0.3">
      <c r="A38" s="54"/>
      <c r="B38" s="54"/>
      <c r="C38" s="53" t="s">
        <v>134</v>
      </c>
      <c r="D38" s="53"/>
      <c r="E38" s="48" t="s">
        <v>67</v>
      </c>
      <c r="F38" s="48"/>
      <c r="G38" s="20">
        <v>1</v>
      </c>
      <c r="H38" s="20">
        <v>2</v>
      </c>
      <c r="I38" s="20">
        <v>1</v>
      </c>
      <c r="J38" s="20">
        <v>1</v>
      </c>
      <c r="K38" s="20">
        <v>1</v>
      </c>
      <c r="L38" s="20">
        <v>1</v>
      </c>
      <c r="M38" s="20">
        <v>1</v>
      </c>
      <c r="N38" s="20">
        <v>1</v>
      </c>
      <c r="O38" s="20">
        <v>1</v>
      </c>
      <c r="P38" s="20">
        <v>1</v>
      </c>
      <c r="Q38" s="20">
        <v>1</v>
      </c>
      <c r="R38" s="20">
        <v>1</v>
      </c>
      <c r="S38" s="20">
        <v>1</v>
      </c>
      <c r="T38" s="21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</row>
    <row r="39" spans="1:49" ht="16.8" x14ac:dyDescent="0.3">
      <c r="A39" s="54"/>
      <c r="B39" s="54"/>
      <c r="C39" s="51"/>
      <c r="D39" s="52"/>
      <c r="E39" s="51"/>
      <c r="F39" s="52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2">
        <v>1</v>
      </c>
      <c r="U39" s="20"/>
      <c r="V39" s="20"/>
      <c r="W39" s="20"/>
      <c r="X39" s="20"/>
      <c r="Y39" s="20"/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</row>
    <row r="40" spans="1:49" ht="16.8" x14ac:dyDescent="0.3">
      <c r="A40" s="54"/>
      <c r="B40" s="54"/>
      <c r="C40" s="53" t="s">
        <v>132</v>
      </c>
      <c r="D40" s="53"/>
      <c r="E40" s="48" t="s">
        <v>67</v>
      </c>
      <c r="F40" s="48"/>
      <c r="G40" s="20">
        <v>1</v>
      </c>
      <c r="H40" s="20">
        <v>2</v>
      </c>
      <c r="I40" s="20">
        <v>1</v>
      </c>
      <c r="J40" s="20">
        <v>1</v>
      </c>
      <c r="K40" s="20">
        <v>1</v>
      </c>
      <c r="L40" s="20">
        <v>1</v>
      </c>
      <c r="M40" s="20">
        <v>1</v>
      </c>
      <c r="N40" s="20">
        <v>1</v>
      </c>
      <c r="O40" s="20">
        <v>1</v>
      </c>
      <c r="P40" s="20">
        <v>1</v>
      </c>
      <c r="Q40" s="20">
        <v>1</v>
      </c>
      <c r="R40" s="20">
        <v>1</v>
      </c>
      <c r="S40" s="20">
        <v>1</v>
      </c>
      <c r="T40" s="21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</row>
    <row r="41" spans="1:49" ht="16.8" x14ac:dyDescent="0.3">
      <c r="A41" s="54"/>
      <c r="B41" s="54"/>
      <c r="C41" s="51"/>
      <c r="D41" s="52"/>
      <c r="E41" s="51"/>
      <c r="F41" s="52"/>
      <c r="G41" s="20"/>
      <c r="H41" s="20"/>
      <c r="I41" s="20"/>
      <c r="J41" s="20"/>
      <c r="K41" s="20"/>
      <c r="L41" s="20"/>
      <c r="M41" s="44"/>
      <c r="N41" s="20"/>
      <c r="O41" s="20"/>
      <c r="P41" s="20"/>
      <c r="Q41" s="20"/>
      <c r="R41" s="20"/>
      <c r="S41" s="20"/>
      <c r="T41" s="22">
        <v>1</v>
      </c>
      <c r="U41" s="20"/>
      <c r="V41" s="20"/>
      <c r="W41" s="20"/>
      <c r="X41" s="20"/>
      <c r="Y41" s="20"/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</row>
    <row r="42" spans="1:49" ht="16.8" x14ac:dyDescent="0.3">
      <c r="A42" s="54"/>
      <c r="B42" s="54"/>
      <c r="C42" s="53" t="s">
        <v>42</v>
      </c>
      <c r="D42" s="53"/>
      <c r="E42" s="48" t="s">
        <v>135</v>
      </c>
      <c r="F42" s="48"/>
      <c r="G42" s="20">
        <v>7</v>
      </c>
      <c r="H42" s="20">
        <v>10</v>
      </c>
      <c r="I42" s="20">
        <v>7</v>
      </c>
      <c r="J42" s="20">
        <v>7</v>
      </c>
      <c r="K42" s="20">
        <v>7</v>
      </c>
      <c r="L42" s="20">
        <v>7</v>
      </c>
      <c r="M42" s="20">
        <v>7</v>
      </c>
      <c r="N42" s="21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</row>
    <row r="43" spans="1:49" ht="16.8" x14ac:dyDescent="0.3">
      <c r="A43" s="54"/>
      <c r="B43" s="54"/>
      <c r="C43" s="48"/>
      <c r="D43" s="48"/>
      <c r="E43" s="48"/>
      <c r="F43" s="48"/>
      <c r="G43" s="20"/>
      <c r="H43" s="20"/>
      <c r="I43" s="20"/>
      <c r="J43" s="20"/>
      <c r="K43" s="20"/>
      <c r="L43" s="20"/>
      <c r="M43" s="8"/>
      <c r="N43" s="22">
        <v>3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</row>
    <row r="44" spans="1:49" ht="16.8" x14ac:dyDescent="0.3">
      <c r="A44" s="54"/>
      <c r="B44" s="54" t="s">
        <v>24</v>
      </c>
      <c r="C44" s="71" t="s">
        <v>136</v>
      </c>
      <c r="D44" s="53"/>
      <c r="E44" s="48" t="s">
        <v>65</v>
      </c>
      <c r="F44" s="48"/>
      <c r="G44" s="20">
        <v>1</v>
      </c>
      <c r="H44" s="20">
        <v>2</v>
      </c>
      <c r="I44" s="20">
        <v>1</v>
      </c>
      <c r="J44" s="20">
        <v>1</v>
      </c>
      <c r="K44" s="20">
        <v>1</v>
      </c>
      <c r="L44" s="20">
        <v>1</v>
      </c>
      <c r="M44" s="20">
        <v>1</v>
      </c>
      <c r="N44" s="20">
        <v>1</v>
      </c>
      <c r="O44" s="20">
        <v>1</v>
      </c>
      <c r="P44" s="20">
        <v>1</v>
      </c>
      <c r="Q44" s="20">
        <v>1</v>
      </c>
      <c r="R44" s="20">
        <v>1</v>
      </c>
      <c r="S44" s="20">
        <v>1</v>
      </c>
      <c r="T44" s="20">
        <v>1</v>
      </c>
      <c r="U44" s="20">
        <v>1</v>
      </c>
      <c r="V44" s="21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</row>
    <row r="45" spans="1:49" ht="16.8" x14ac:dyDescent="0.3">
      <c r="A45" s="54"/>
      <c r="B45" s="54"/>
      <c r="C45" s="48"/>
      <c r="D45" s="48"/>
      <c r="E45" s="48"/>
      <c r="F45" s="48"/>
      <c r="G45" s="20"/>
      <c r="H45" s="20"/>
      <c r="I45" s="20"/>
      <c r="J45" s="20"/>
      <c r="K45" s="20"/>
      <c r="L45" s="20"/>
      <c r="M45" s="20"/>
      <c r="N45" s="8"/>
      <c r="O45" s="20">
        <v>2</v>
      </c>
      <c r="P45" s="20">
        <v>0</v>
      </c>
      <c r="Q45" s="20"/>
      <c r="R45" s="20"/>
      <c r="S45" s="20"/>
      <c r="T45" s="20"/>
      <c r="U45" s="20"/>
      <c r="V45" s="22">
        <v>1</v>
      </c>
      <c r="W45" s="20"/>
      <c r="X45" s="20"/>
      <c r="Y45" s="20"/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</row>
    <row r="46" spans="1:49" ht="16.8" x14ac:dyDescent="0.3">
      <c r="A46" s="54"/>
      <c r="B46" s="54"/>
      <c r="C46" s="71" t="s">
        <v>137</v>
      </c>
      <c r="D46" s="53"/>
      <c r="E46" s="48" t="s">
        <v>174</v>
      </c>
      <c r="F46" s="48"/>
      <c r="G46" s="20">
        <v>3</v>
      </c>
      <c r="H46" s="20">
        <v>3</v>
      </c>
      <c r="I46" s="20">
        <v>2</v>
      </c>
      <c r="J46" s="20">
        <v>2</v>
      </c>
      <c r="K46" s="20">
        <v>2</v>
      </c>
      <c r="L46" s="20">
        <v>2</v>
      </c>
      <c r="M46" s="20">
        <v>2</v>
      </c>
      <c r="N46" s="20">
        <v>2</v>
      </c>
      <c r="O46" s="20">
        <v>2</v>
      </c>
      <c r="P46" s="20">
        <v>2</v>
      </c>
      <c r="Q46" s="20">
        <v>2</v>
      </c>
      <c r="R46" s="20">
        <v>2</v>
      </c>
      <c r="S46" s="20">
        <v>2</v>
      </c>
      <c r="T46" s="20">
        <v>2</v>
      </c>
      <c r="U46" s="20">
        <v>2</v>
      </c>
      <c r="V46" s="20">
        <v>2</v>
      </c>
      <c r="W46" s="20">
        <v>1</v>
      </c>
      <c r="X46" s="21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</row>
    <row r="47" spans="1:49" ht="16.8" x14ac:dyDescent="0.3">
      <c r="A47" s="54"/>
      <c r="B47" s="54"/>
      <c r="C47" s="53" t="s">
        <v>138</v>
      </c>
      <c r="D47" s="53"/>
      <c r="E47" s="48" t="s">
        <v>56</v>
      </c>
      <c r="F47" s="48"/>
      <c r="G47" s="20">
        <v>2</v>
      </c>
      <c r="H47" s="20">
        <v>2</v>
      </c>
      <c r="I47" s="20">
        <v>2</v>
      </c>
      <c r="J47" s="20">
        <v>2</v>
      </c>
      <c r="K47" s="20">
        <v>2</v>
      </c>
      <c r="L47" s="20">
        <v>2</v>
      </c>
      <c r="M47" s="20">
        <v>2</v>
      </c>
      <c r="N47" s="20">
        <v>2</v>
      </c>
      <c r="O47" s="20">
        <v>2</v>
      </c>
      <c r="P47" s="20">
        <v>2</v>
      </c>
      <c r="Q47" s="20">
        <v>2</v>
      </c>
      <c r="R47" s="20">
        <v>2</v>
      </c>
      <c r="S47" s="20">
        <v>2</v>
      </c>
      <c r="T47" s="20">
        <v>2</v>
      </c>
      <c r="U47" s="20">
        <v>2</v>
      </c>
      <c r="V47" s="20">
        <v>2</v>
      </c>
      <c r="W47" s="20">
        <v>2</v>
      </c>
      <c r="X47" s="20">
        <v>2</v>
      </c>
      <c r="Y47" s="21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</row>
    <row r="48" spans="1:49" ht="16.8" x14ac:dyDescent="0.3">
      <c r="A48" s="54"/>
      <c r="B48" s="54"/>
      <c r="C48" s="53" t="s">
        <v>139</v>
      </c>
      <c r="D48" s="53"/>
      <c r="E48" s="48" t="s">
        <v>56</v>
      </c>
      <c r="F48" s="48"/>
      <c r="G48" s="20">
        <v>6</v>
      </c>
      <c r="H48" s="20">
        <v>4</v>
      </c>
      <c r="I48" s="20">
        <v>2</v>
      </c>
      <c r="J48" s="20">
        <v>2</v>
      </c>
      <c r="K48" s="20">
        <v>2</v>
      </c>
      <c r="L48" s="20">
        <v>2</v>
      </c>
      <c r="M48" s="20">
        <v>2</v>
      </c>
      <c r="N48" s="20">
        <v>2</v>
      </c>
      <c r="O48" s="20">
        <v>2</v>
      </c>
      <c r="P48" s="20">
        <v>2</v>
      </c>
      <c r="Q48" s="20">
        <v>2</v>
      </c>
      <c r="R48" s="20">
        <v>2</v>
      </c>
      <c r="S48" s="20">
        <v>2</v>
      </c>
      <c r="T48" s="20">
        <v>2</v>
      </c>
      <c r="U48" s="20">
        <v>2</v>
      </c>
      <c r="V48" s="20">
        <v>2</v>
      </c>
      <c r="W48" s="20">
        <v>2</v>
      </c>
      <c r="X48" s="20">
        <v>2</v>
      </c>
      <c r="Y48" s="20">
        <v>2</v>
      </c>
      <c r="Z48" s="21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</row>
    <row r="49" spans="1:49" ht="16.8" x14ac:dyDescent="0.3">
      <c r="A49" s="54"/>
      <c r="B49" s="54"/>
      <c r="C49" s="69"/>
      <c r="D49" s="69"/>
      <c r="E49" s="48"/>
      <c r="F49" s="48"/>
      <c r="G49" s="20"/>
      <c r="H49" s="20"/>
      <c r="I49" s="20"/>
      <c r="J49" s="20"/>
      <c r="K49" s="20"/>
      <c r="L49" s="20"/>
      <c r="M49" s="20"/>
      <c r="N49" s="20"/>
      <c r="O49" s="8"/>
      <c r="P49" s="20">
        <v>0</v>
      </c>
      <c r="Q49" s="20"/>
      <c r="R49" s="20"/>
      <c r="S49" s="20"/>
      <c r="T49" s="20"/>
      <c r="U49" s="20"/>
      <c r="V49" s="20"/>
      <c r="W49" s="20"/>
      <c r="X49" s="20"/>
      <c r="Y49" s="20"/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</row>
    <row r="50" spans="1:49" ht="16.8" x14ac:dyDescent="0.3">
      <c r="A50" s="54"/>
      <c r="B50" s="54"/>
      <c r="C50" s="71" t="s">
        <v>140</v>
      </c>
      <c r="D50" s="53"/>
      <c r="E50" s="48" t="s">
        <v>56</v>
      </c>
      <c r="F50" s="48"/>
      <c r="G50" s="20">
        <v>2</v>
      </c>
      <c r="H50" s="20">
        <v>2</v>
      </c>
      <c r="I50" s="20">
        <v>2</v>
      </c>
      <c r="J50" s="20">
        <v>2</v>
      </c>
      <c r="K50" s="20">
        <v>2</v>
      </c>
      <c r="L50" s="20">
        <v>2</v>
      </c>
      <c r="M50" s="20">
        <v>2</v>
      </c>
      <c r="N50" s="20">
        <v>2</v>
      </c>
      <c r="O50" s="20">
        <v>2</v>
      </c>
      <c r="P50" s="20">
        <v>2</v>
      </c>
      <c r="Q50" s="20">
        <v>2</v>
      </c>
      <c r="R50" s="20">
        <v>2</v>
      </c>
      <c r="S50" s="20">
        <v>2</v>
      </c>
      <c r="T50" s="20">
        <v>2</v>
      </c>
      <c r="U50" s="20">
        <v>2</v>
      </c>
      <c r="V50" s="20">
        <v>2</v>
      </c>
      <c r="W50" s="20">
        <v>2</v>
      </c>
      <c r="X50" s="20">
        <v>2</v>
      </c>
      <c r="Y50" s="20">
        <v>2</v>
      </c>
      <c r="Z50" s="20">
        <v>2</v>
      </c>
      <c r="AA50" s="21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</row>
    <row r="51" spans="1:49" ht="16.8" x14ac:dyDescent="0.3">
      <c r="A51" s="54"/>
      <c r="B51" s="54"/>
      <c r="C51" s="75" t="s">
        <v>149</v>
      </c>
      <c r="D51" s="76"/>
      <c r="E51" s="48" t="s">
        <v>65</v>
      </c>
      <c r="F51" s="48"/>
      <c r="G51" s="20">
        <v>4</v>
      </c>
      <c r="H51" s="20">
        <v>3</v>
      </c>
      <c r="I51" s="20"/>
      <c r="J51" s="20"/>
      <c r="K51" s="20"/>
      <c r="L51" s="20"/>
      <c r="M51" s="20"/>
      <c r="N51" s="20"/>
      <c r="O51" s="20"/>
      <c r="P51" s="20">
        <v>0</v>
      </c>
      <c r="Q51" s="20"/>
      <c r="R51" s="20"/>
      <c r="S51" s="20"/>
      <c r="T51" s="20"/>
      <c r="U51" s="20"/>
      <c r="V51" s="20"/>
      <c r="W51" s="20"/>
      <c r="X51" s="20"/>
      <c r="Y51" s="20"/>
      <c r="Z51" s="20">
        <v>0</v>
      </c>
      <c r="AA51" s="20">
        <v>0</v>
      </c>
      <c r="AB51" s="21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</row>
    <row r="52" spans="1:49" ht="16.8" x14ac:dyDescent="0.3">
      <c r="A52" s="54"/>
      <c r="B52" s="54"/>
      <c r="C52" s="53" t="s">
        <v>141</v>
      </c>
      <c r="D52" s="53"/>
      <c r="E52" s="48" t="s">
        <v>67</v>
      </c>
      <c r="F52" s="48"/>
      <c r="G52" s="20">
        <v>2</v>
      </c>
      <c r="H52" s="20">
        <v>2</v>
      </c>
      <c r="I52" s="20">
        <v>2</v>
      </c>
      <c r="J52" s="20">
        <v>2</v>
      </c>
      <c r="K52" s="20">
        <v>2</v>
      </c>
      <c r="L52" s="20">
        <v>2</v>
      </c>
      <c r="M52" s="20">
        <v>2</v>
      </c>
      <c r="N52" s="20">
        <v>2</v>
      </c>
      <c r="O52" s="20">
        <v>2</v>
      </c>
      <c r="P52" s="20">
        <v>2</v>
      </c>
      <c r="Q52" s="20">
        <v>2</v>
      </c>
      <c r="R52" s="20">
        <v>2</v>
      </c>
      <c r="S52" s="20">
        <v>2</v>
      </c>
      <c r="T52" s="20">
        <v>2</v>
      </c>
      <c r="U52" s="20">
        <v>2</v>
      </c>
      <c r="V52" s="20">
        <v>2</v>
      </c>
      <c r="W52" s="20">
        <v>2</v>
      </c>
      <c r="X52" s="20">
        <v>2</v>
      </c>
      <c r="Y52" s="20">
        <v>2</v>
      </c>
      <c r="Z52" s="20">
        <v>2</v>
      </c>
      <c r="AA52" s="20">
        <v>2</v>
      </c>
      <c r="AB52" s="20">
        <v>2</v>
      </c>
      <c r="AC52" s="21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</row>
    <row r="53" spans="1:49" ht="16.8" x14ac:dyDescent="0.3">
      <c r="A53" s="54"/>
      <c r="B53" s="54"/>
      <c r="C53" s="49" t="s">
        <v>142</v>
      </c>
      <c r="D53" s="50"/>
      <c r="E53" s="48" t="s">
        <v>67</v>
      </c>
      <c r="F53" s="48"/>
      <c r="G53" s="20">
        <v>2</v>
      </c>
      <c r="H53" s="20">
        <v>3</v>
      </c>
      <c r="I53" s="20">
        <v>2</v>
      </c>
      <c r="J53" s="20">
        <v>2</v>
      </c>
      <c r="K53" s="20">
        <v>2</v>
      </c>
      <c r="L53" s="20">
        <v>2</v>
      </c>
      <c r="M53" s="20">
        <v>2</v>
      </c>
      <c r="N53" s="20">
        <v>2</v>
      </c>
      <c r="O53" s="20">
        <v>2</v>
      </c>
      <c r="P53" s="20">
        <v>2</v>
      </c>
      <c r="Q53" s="20">
        <v>2</v>
      </c>
      <c r="R53" s="20">
        <v>2</v>
      </c>
      <c r="S53" s="20">
        <v>2</v>
      </c>
      <c r="T53" s="20">
        <v>2</v>
      </c>
      <c r="U53" s="20">
        <v>2</v>
      </c>
      <c r="V53" s="20">
        <v>2</v>
      </c>
      <c r="W53" s="20">
        <v>2</v>
      </c>
      <c r="X53" s="20">
        <v>2</v>
      </c>
      <c r="Y53" s="20">
        <v>2</v>
      </c>
      <c r="Z53" s="20">
        <v>2</v>
      </c>
      <c r="AA53" s="20">
        <v>2</v>
      </c>
      <c r="AB53" s="20">
        <v>2</v>
      </c>
      <c r="AC53" s="20">
        <v>2</v>
      </c>
      <c r="AD53" s="21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</row>
    <row r="54" spans="1:49" ht="16.8" x14ac:dyDescent="0.3">
      <c r="A54" s="54"/>
      <c r="B54" s="54"/>
      <c r="C54" s="51"/>
      <c r="D54" s="52"/>
      <c r="E54" s="51"/>
      <c r="F54" s="52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2">
        <v>1</v>
      </c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</row>
    <row r="55" spans="1:49" ht="16.8" x14ac:dyDescent="0.3">
      <c r="A55" s="54"/>
      <c r="B55" s="54"/>
      <c r="C55" s="49" t="s">
        <v>143</v>
      </c>
      <c r="D55" s="50"/>
      <c r="E55" s="48" t="s">
        <v>61</v>
      </c>
      <c r="F55" s="48"/>
      <c r="G55" s="20">
        <v>3</v>
      </c>
      <c r="H55" s="20">
        <v>3</v>
      </c>
      <c r="I55" s="20">
        <v>3</v>
      </c>
      <c r="J55" s="20">
        <v>3</v>
      </c>
      <c r="K55" s="20">
        <v>3</v>
      </c>
      <c r="L55" s="20">
        <v>3</v>
      </c>
      <c r="M55" s="20">
        <v>3</v>
      </c>
      <c r="N55" s="20">
        <v>3</v>
      </c>
      <c r="O55" s="20">
        <v>3</v>
      </c>
      <c r="P55" s="20">
        <v>3</v>
      </c>
      <c r="Q55" s="20">
        <v>3</v>
      </c>
      <c r="R55" s="20">
        <v>3</v>
      </c>
      <c r="S55" s="20">
        <v>3</v>
      </c>
      <c r="T55" s="20">
        <v>3</v>
      </c>
      <c r="U55" s="20">
        <v>3</v>
      </c>
      <c r="V55" s="20">
        <v>3</v>
      </c>
      <c r="W55" s="20">
        <v>3</v>
      </c>
      <c r="X55" s="20">
        <v>3</v>
      </c>
      <c r="Y55" s="20">
        <v>3</v>
      </c>
      <c r="Z55" s="20">
        <v>3</v>
      </c>
      <c r="AA55" s="20">
        <v>3</v>
      </c>
      <c r="AB55" s="20">
        <v>3</v>
      </c>
      <c r="AC55" s="20">
        <v>3</v>
      </c>
      <c r="AD55" s="20">
        <v>3</v>
      </c>
      <c r="AE55" s="21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</row>
    <row r="56" spans="1:49" ht="16.8" x14ac:dyDescent="0.3">
      <c r="A56" s="54"/>
      <c r="B56" s="54"/>
      <c r="C56" s="49" t="s">
        <v>144</v>
      </c>
      <c r="D56" s="50"/>
      <c r="E56" s="48" t="s">
        <v>150</v>
      </c>
      <c r="F56" s="48"/>
      <c r="G56" s="20">
        <v>3</v>
      </c>
      <c r="H56" s="20">
        <v>5</v>
      </c>
      <c r="I56" s="20">
        <v>3</v>
      </c>
      <c r="J56" s="20">
        <v>3</v>
      </c>
      <c r="K56" s="20">
        <v>3</v>
      </c>
      <c r="L56" s="20">
        <v>3</v>
      </c>
      <c r="M56" s="20">
        <v>3</v>
      </c>
      <c r="N56" s="20">
        <v>3</v>
      </c>
      <c r="O56" s="20">
        <v>3</v>
      </c>
      <c r="P56" s="20">
        <v>3</v>
      </c>
      <c r="Q56" s="20">
        <v>3</v>
      </c>
      <c r="R56" s="20">
        <v>3</v>
      </c>
      <c r="S56" s="20">
        <v>3</v>
      </c>
      <c r="T56" s="20">
        <v>3</v>
      </c>
      <c r="U56" s="20">
        <v>3</v>
      </c>
      <c r="V56" s="20">
        <v>3</v>
      </c>
      <c r="W56" s="20">
        <v>3</v>
      </c>
      <c r="X56" s="20">
        <v>3</v>
      </c>
      <c r="Y56" s="20">
        <v>3</v>
      </c>
      <c r="Z56" s="20">
        <v>3</v>
      </c>
      <c r="AA56" s="20">
        <v>3</v>
      </c>
      <c r="AB56" s="20">
        <v>3</v>
      </c>
      <c r="AC56" s="20">
        <v>3</v>
      </c>
      <c r="AD56" s="20">
        <v>3</v>
      </c>
      <c r="AE56" s="20">
        <v>3</v>
      </c>
      <c r="AF56" s="20">
        <v>3</v>
      </c>
      <c r="AG56" s="21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</row>
    <row r="57" spans="1:49" ht="16.8" x14ac:dyDescent="0.3">
      <c r="A57" s="54"/>
      <c r="B57" s="54"/>
      <c r="C57" s="51"/>
      <c r="D57" s="52"/>
      <c r="E57" s="48"/>
      <c r="F57" s="48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8"/>
      <c r="R57" s="20">
        <v>0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3">
        <v>1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</row>
    <row r="58" spans="1:49" ht="16.8" x14ac:dyDescent="0.3">
      <c r="A58" s="54"/>
      <c r="B58" s="54"/>
      <c r="C58" s="53" t="s">
        <v>145</v>
      </c>
      <c r="D58" s="53"/>
      <c r="E58" s="48" t="s">
        <v>65</v>
      </c>
      <c r="F58" s="48"/>
      <c r="G58" s="20">
        <v>4</v>
      </c>
      <c r="H58" s="20">
        <v>2</v>
      </c>
      <c r="I58" s="20">
        <v>4</v>
      </c>
      <c r="J58" s="20">
        <v>4</v>
      </c>
      <c r="K58" s="20">
        <v>4</v>
      </c>
      <c r="L58" s="20">
        <v>4</v>
      </c>
      <c r="M58" s="20">
        <v>4</v>
      </c>
      <c r="N58" s="20">
        <v>4</v>
      </c>
      <c r="O58" s="20">
        <v>4</v>
      </c>
      <c r="P58" s="20">
        <v>4</v>
      </c>
      <c r="Q58" s="20">
        <v>2</v>
      </c>
      <c r="R58" s="20">
        <v>2</v>
      </c>
      <c r="S58" s="20">
        <v>2</v>
      </c>
      <c r="T58" s="20">
        <v>2</v>
      </c>
      <c r="U58" s="20">
        <v>2</v>
      </c>
      <c r="V58" s="20">
        <v>2</v>
      </c>
      <c r="W58" s="20">
        <v>2</v>
      </c>
      <c r="X58" s="20">
        <v>2</v>
      </c>
      <c r="Y58" s="20">
        <v>2</v>
      </c>
      <c r="Z58" s="20">
        <v>2</v>
      </c>
      <c r="AA58" s="20">
        <v>2</v>
      </c>
      <c r="AB58" s="20">
        <v>2</v>
      </c>
      <c r="AC58" s="20">
        <v>2</v>
      </c>
      <c r="AD58" s="20">
        <v>2</v>
      </c>
      <c r="AE58" s="20">
        <v>2</v>
      </c>
      <c r="AF58" s="20">
        <v>2</v>
      </c>
      <c r="AG58" s="20">
        <v>2</v>
      </c>
      <c r="AH58" s="21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</row>
    <row r="59" spans="1:49" ht="16.8" x14ac:dyDescent="0.3">
      <c r="A59" s="54"/>
      <c r="B59" s="54"/>
      <c r="C59" s="53" t="s">
        <v>146</v>
      </c>
      <c r="D59" s="53"/>
      <c r="E59" s="48" t="s">
        <v>65</v>
      </c>
      <c r="F59" s="48"/>
      <c r="G59" s="20">
        <v>2</v>
      </c>
      <c r="H59" s="20">
        <v>3</v>
      </c>
      <c r="I59" s="20">
        <v>2</v>
      </c>
      <c r="J59" s="20">
        <v>2</v>
      </c>
      <c r="K59" s="20">
        <v>2</v>
      </c>
      <c r="L59" s="20">
        <v>2</v>
      </c>
      <c r="M59" s="20">
        <v>2</v>
      </c>
      <c r="N59" s="20">
        <v>2</v>
      </c>
      <c r="O59" s="20">
        <v>2</v>
      </c>
      <c r="P59" s="20">
        <v>2</v>
      </c>
      <c r="Q59" s="20">
        <v>2</v>
      </c>
      <c r="R59" s="20">
        <v>2</v>
      </c>
      <c r="S59" s="20">
        <v>2</v>
      </c>
      <c r="T59" s="20">
        <v>2</v>
      </c>
      <c r="U59" s="20">
        <v>2</v>
      </c>
      <c r="V59" s="20">
        <v>2</v>
      </c>
      <c r="W59" s="20">
        <v>2</v>
      </c>
      <c r="X59" s="20">
        <v>2</v>
      </c>
      <c r="Y59" s="20">
        <v>2</v>
      </c>
      <c r="Z59" s="20">
        <v>2</v>
      </c>
      <c r="AA59" s="20">
        <v>2</v>
      </c>
      <c r="AB59" s="20">
        <v>2</v>
      </c>
      <c r="AC59" s="20">
        <v>2</v>
      </c>
      <c r="AD59" s="20">
        <v>2</v>
      </c>
      <c r="AE59" s="20">
        <v>2</v>
      </c>
      <c r="AF59" s="20">
        <v>2</v>
      </c>
      <c r="AG59" s="20">
        <v>2</v>
      </c>
      <c r="AH59" s="20">
        <v>2</v>
      </c>
      <c r="AI59" s="20">
        <v>1</v>
      </c>
      <c r="AJ59" s="21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</row>
    <row r="60" spans="1:49" ht="16.8" x14ac:dyDescent="0.3">
      <c r="A60" s="54"/>
      <c r="B60" s="54"/>
      <c r="C60" s="49" t="s">
        <v>147</v>
      </c>
      <c r="D60" s="50"/>
      <c r="E60" s="48" t="s">
        <v>67</v>
      </c>
      <c r="F60" s="48"/>
      <c r="G60" s="20">
        <v>2</v>
      </c>
      <c r="H60" s="20">
        <v>2</v>
      </c>
      <c r="I60" s="20">
        <v>2</v>
      </c>
      <c r="J60" s="20">
        <v>2</v>
      </c>
      <c r="K60" s="20">
        <v>2</v>
      </c>
      <c r="L60" s="20">
        <v>2</v>
      </c>
      <c r="M60" s="20">
        <v>2</v>
      </c>
      <c r="N60" s="20">
        <v>2</v>
      </c>
      <c r="O60" s="20">
        <v>2</v>
      </c>
      <c r="P60" s="20">
        <v>2</v>
      </c>
      <c r="Q60" s="20">
        <v>2</v>
      </c>
      <c r="R60" s="20">
        <v>2</v>
      </c>
      <c r="S60" s="20">
        <v>2</v>
      </c>
      <c r="T60" s="20">
        <v>2</v>
      </c>
      <c r="U60" s="20">
        <v>2</v>
      </c>
      <c r="V60" s="20">
        <v>2</v>
      </c>
      <c r="W60" s="20">
        <v>2</v>
      </c>
      <c r="X60" s="20">
        <v>2</v>
      </c>
      <c r="Y60" s="20">
        <v>2</v>
      </c>
      <c r="Z60" s="20">
        <v>2</v>
      </c>
      <c r="AA60" s="20">
        <v>2</v>
      </c>
      <c r="AB60" s="20">
        <v>2</v>
      </c>
      <c r="AC60" s="20">
        <v>2</v>
      </c>
      <c r="AD60" s="20">
        <v>2</v>
      </c>
      <c r="AE60" s="20">
        <v>2</v>
      </c>
      <c r="AF60" s="20">
        <v>2</v>
      </c>
      <c r="AG60" s="20">
        <v>2</v>
      </c>
      <c r="AH60" s="20">
        <v>2</v>
      </c>
      <c r="AI60" s="20">
        <v>2</v>
      </c>
      <c r="AJ60" s="20">
        <v>2</v>
      </c>
      <c r="AK60" s="21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</row>
    <row r="61" spans="1:49" ht="16.8" x14ac:dyDescent="0.3">
      <c r="A61" s="54"/>
      <c r="B61" s="54"/>
      <c r="C61" s="49" t="s">
        <v>148</v>
      </c>
      <c r="D61" s="50"/>
      <c r="E61" s="48" t="s">
        <v>67</v>
      </c>
      <c r="F61" s="48"/>
      <c r="G61" s="20">
        <v>2</v>
      </c>
      <c r="H61" s="20">
        <v>3</v>
      </c>
      <c r="I61" s="20">
        <v>2</v>
      </c>
      <c r="J61" s="20">
        <v>2</v>
      </c>
      <c r="K61" s="20">
        <v>2</v>
      </c>
      <c r="L61" s="20">
        <v>2</v>
      </c>
      <c r="M61" s="20">
        <v>2</v>
      </c>
      <c r="N61" s="20">
        <v>2</v>
      </c>
      <c r="O61" s="20">
        <v>2</v>
      </c>
      <c r="P61" s="20">
        <v>2</v>
      </c>
      <c r="Q61" s="20">
        <v>2</v>
      </c>
      <c r="R61" s="20">
        <v>2</v>
      </c>
      <c r="S61" s="20">
        <v>2</v>
      </c>
      <c r="T61" s="20">
        <v>2</v>
      </c>
      <c r="U61" s="20">
        <v>2</v>
      </c>
      <c r="V61" s="20">
        <v>2</v>
      </c>
      <c r="W61" s="20">
        <v>2</v>
      </c>
      <c r="X61" s="20">
        <v>2</v>
      </c>
      <c r="Y61" s="20">
        <v>2</v>
      </c>
      <c r="Z61" s="20">
        <v>2</v>
      </c>
      <c r="AA61" s="20">
        <v>2</v>
      </c>
      <c r="AB61" s="20">
        <v>2</v>
      </c>
      <c r="AC61" s="20">
        <v>2</v>
      </c>
      <c r="AD61" s="20">
        <v>2</v>
      </c>
      <c r="AE61" s="20">
        <v>2</v>
      </c>
      <c r="AF61" s="20">
        <v>2</v>
      </c>
      <c r="AG61" s="20">
        <v>2</v>
      </c>
      <c r="AH61" s="20">
        <v>2</v>
      </c>
      <c r="AI61" s="20">
        <v>2</v>
      </c>
      <c r="AJ61" s="20">
        <v>2</v>
      </c>
      <c r="AK61" s="20">
        <v>2</v>
      </c>
      <c r="AL61" s="20">
        <v>1</v>
      </c>
      <c r="AM61" s="21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</row>
    <row r="62" spans="1:49" ht="16.8" x14ac:dyDescent="0.3">
      <c r="A62" s="54"/>
      <c r="B62" s="54"/>
      <c r="C62" s="49" t="s">
        <v>23</v>
      </c>
      <c r="D62" s="50"/>
      <c r="E62" s="48" t="s">
        <v>135</v>
      </c>
      <c r="F62" s="48"/>
      <c r="G62" s="20">
        <v>10</v>
      </c>
      <c r="H62" s="20">
        <v>10</v>
      </c>
      <c r="I62" s="20">
        <v>10</v>
      </c>
      <c r="J62" s="20">
        <v>10</v>
      </c>
      <c r="K62" s="20">
        <v>10</v>
      </c>
      <c r="L62" s="20">
        <v>10</v>
      </c>
      <c r="M62" s="20">
        <v>10</v>
      </c>
      <c r="N62" s="20">
        <v>10</v>
      </c>
      <c r="O62" s="20">
        <v>10</v>
      </c>
      <c r="P62" s="20">
        <v>10</v>
      </c>
      <c r="Q62" s="20">
        <v>10</v>
      </c>
      <c r="R62" s="20">
        <v>10</v>
      </c>
      <c r="S62" s="20">
        <v>10</v>
      </c>
      <c r="T62" s="20">
        <v>10</v>
      </c>
      <c r="U62" s="20">
        <v>10</v>
      </c>
      <c r="V62" s="20">
        <v>10</v>
      </c>
      <c r="W62" s="20">
        <v>10</v>
      </c>
      <c r="X62" s="20">
        <v>10</v>
      </c>
      <c r="Y62" s="20">
        <v>10</v>
      </c>
      <c r="Z62" s="20">
        <v>10</v>
      </c>
      <c r="AA62" s="20">
        <v>10</v>
      </c>
      <c r="AB62" s="20">
        <v>10</v>
      </c>
      <c r="AC62" s="20">
        <v>10</v>
      </c>
      <c r="AD62" s="20">
        <v>10</v>
      </c>
      <c r="AE62" s="20">
        <v>10</v>
      </c>
      <c r="AF62" s="20">
        <v>10</v>
      </c>
      <c r="AG62" s="20">
        <v>10</v>
      </c>
      <c r="AH62" s="20">
        <v>10</v>
      </c>
      <c r="AI62" s="20">
        <v>10</v>
      </c>
      <c r="AJ62" s="20">
        <v>10</v>
      </c>
      <c r="AK62" s="20">
        <v>10</v>
      </c>
      <c r="AL62" s="20">
        <v>10</v>
      </c>
      <c r="AM62" s="20">
        <v>10</v>
      </c>
      <c r="AN62" s="21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</row>
    <row r="63" spans="1:49" ht="16.8" x14ac:dyDescent="0.3">
      <c r="A63" s="54"/>
      <c r="B63" s="54" t="s">
        <v>27</v>
      </c>
      <c r="C63" s="49" t="s">
        <v>157</v>
      </c>
      <c r="D63" s="50"/>
      <c r="E63" s="48" t="s">
        <v>67</v>
      </c>
      <c r="F63" s="48"/>
      <c r="G63" s="20">
        <v>1</v>
      </c>
      <c r="H63" s="20">
        <v>2</v>
      </c>
      <c r="I63" s="20">
        <v>1</v>
      </c>
      <c r="J63" s="20">
        <v>1</v>
      </c>
      <c r="K63" s="20">
        <v>1</v>
      </c>
      <c r="L63" s="20">
        <v>1</v>
      </c>
      <c r="M63" s="20">
        <v>1</v>
      </c>
      <c r="N63" s="20">
        <v>1</v>
      </c>
      <c r="O63" s="20">
        <v>1</v>
      </c>
      <c r="P63" s="20">
        <v>1</v>
      </c>
      <c r="Q63" s="20">
        <v>1</v>
      </c>
      <c r="R63" s="20">
        <v>1</v>
      </c>
      <c r="S63" s="20">
        <v>1</v>
      </c>
      <c r="T63" s="20">
        <v>1</v>
      </c>
      <c r="U63" s="20">
        <v>1</v>
      </c>
      <c r="V63" s="20">
        <v>1</v>
      </c>
      <c r="W63" s="20">
        <v>1</v>
      </c>
      <c r="X63" s="20">
        <v>1</v>
      </c>
      <c r="Y63" s="20">
        <v>1</v>
      </c>
      <c r="Z63" s="20">
        <v>1</v>
      </c>
      <c r="AA63" s="20">
        <v>1</v>
      </c>
      <c r="AB63" s="20">
        <v>1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20">
        <v>1</v>
      </c>
      <c r="AJ63" s="20">
        <v>1</v>
      </c>
      <c r="AK63" s="20">
        <v>1</v>
      </c>
      <c r="AL63" s="20">
        <v>1</v>
      </c>
      <c r="AM63" s="20">
        <v>1</v>
      </c>
      <c r="AN63" s="20">
        <v>1</v>
      </c>
      <c r="AO63" s="21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</row>
    <row r="64" spans="1:49" ht="16.8" x14ac:dyDescent="0.3">
      <c r="A64" s="54"/>
      <c r="B64" s="54"/>
      <c r="C64" s="42"/>
      <c r="D64" s="43"/>
      <c r="E64" s="51"/>
      <c r="F64" s="52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47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2">
        <v>1</v>
      </c>
      <c r="AP64" s="20"/>
      <c r="AQ64" s="20"/>
      <c r="AR64" s="20"/>
      <c r="AS64" s="20"/>
      <c r="AT64" s="20"/>
      <c r="AU64" s="20"/>
      <c r="AV64" s="20"/>
      <c r="AW64" s="20"/>
    </row>
    <row r="65" spans="1:49" ht="16.8" x14ac:dyDescent="0.3">
      <c r="A65" s="54"/>
      <c r="B65" s="54"/>
      <c r="C65" s="53" t="s">
        <v>151</v>
      </c>
      <c r="D65" s="53"/>
      <c r="E65" s="48" t="s">
        <v>67</v>
      </c>
      <c r="F65" s="48"/>
      <c r="G65" s="20">
        <v>1</v>
      </c>
      <c r="H65" s="20">
        <v>2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0">
        <v>1</v>
      </c>
      <c r="AA65" s="20">
        <v>1</v>
      </c>
      <c r="AB65" s="20">
        <v>1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20">
        <v>1</v>
      </c>
      <c r="AJ65" s="20">
        <v>1</v>
      </c>
      <c r="AK65" s="20">
        <v>1</v>
      </c>
      <c r="AL65" s="20">
        <v>1</v>
      </c>
      <c r="AM65" s="20">
        <v>1</v>
      </c>
      <c r="AN65" s="20">
        <v>1</v>
      </c>
      <c r="AO65" s="21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</row>
    <row r="66" spans="1:49" ht="16.8" x14ac:dyDescent="0.3">
      <c r="A66" s="54"/>
      <c r="B66" s="54"/>
      <c r="C66" s="42"/>
      <c r="D66" s="43"/>
      <c r="E66" s="51"/>
      <c r="F66" s="52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44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2">
        <v>1</v>
      </c>
      <c r="AP66" s="20"/>
      <c r="AQ66" s="20"/>
      <c r="AR66" s="20"/>
      <c r="AS66" s="20"/>
      <c r="AT66" s="20"/>
      <c r="AU66" s="20"/>
      <c r="AV66" s="20"/>
      <c r="AW66" s="20"/>
    </row>
    <row r="67" spans="1:49" ht="16.8" x14ac:dyDescent="0.3">
      <c r="A67" s="54"/>
      <c r="B67" s="54"/>
      <c r="C67" s="56" t="s">
        <v>152</v>
      </c>
      <c r="D67" s="57"/>
      <c r="E67" s="48" t="s">
        <v>67</v>
      </c>
      <c r="F67" s="48"/>
      <c r="G67" s="20">
        <v>1</v>
      </c>
      <c r="H67" s="20">
        <v>1</v>
      </c>
      <c r="I67" s="20">
        <v>1</v>
      </c>
      <c r="J67" s="20">
        <v>1</v>
      </c>
      <c r="K67" s="20">
        <v>1</v>
      </c>
      <c r="L67" s="20">
        <v>1</v>
      </c>
      <c r="M67" s="20">
        <v>1</v>
      </c>
      <c r="N67" s="20">
        <v>1</v>
      </c>
      <c r="O67" s="20">
        <v>1</v>
      </c>
      <c r="P67" s="20">
        <v>1</v>
      </c>
      <c r="Q67" s="20">
        <v>1</v>
      </c>
      <c r="R67" s="20">
        <v>1</v>
      </c>
      <c r="S67" s="20">
        <v>1</v>
      </c>
      <c r="T67" s="20">
        <v>1</v>
      </c>
      <c r="U67" s="20">
        <v>1</v>
      </c>
      <c r="V67" s="20">
        <v>1</v>
      </c>
      <c r="W67" s="20">
        <v>1</v>
      </c>
      <c r="X67" s="20">
        <v>1</v>
      </c>
      <c r="Y67" s="20">
        <v>1</v>
      </c>
      <c r="Z67" s="20">
        <v>1</v>
      </c>
      <c r="AA67" s="20">
        <v>1</v>
      </c>
      <c r="AB67" s="20">
        <v>1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20">
        <v>1</v>
      </c>
      <c r="AJ67" s="20">
        <v>1</v>
      </c>
      <c r="AK67" s="20">
        <v>1</v>
      </c>
      <c r="AL67" s="20">
        <v>1</v>
      </c>
      <c r="AM67" s="20">
        <v>1</v>
      </c>
      <c r="AN67" s="20">
        <v>1</v>
      </c>
      <c r="AO67" s="20">
        <v>1</v>
      </c>
      <c r="AP67" s="21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</row>
    <row r="68" spans="1:49" ht="16.8" x14ac:dyDescent="0.3">
      <c r="A68" s="54"/>
      <c r="B68" s="54"/>
      <c r="C68" s="53" t="s">
        <v>153</v>
      </c>
      <c r="D68" s="53"/>
      <c r="E68" s="48" t="s">
        <v>67</v>
      </c>
      <c r="F68" s="48"/>
      <c r="G68" s="20">
        <v>1</v>
      </c>
      <c r="H68" s="20">
        <v>1</v>
      </c>
      <c r="I68" s="20">
        <v>1</v>
      </c>
      <c r="J68" s="20">
        <v>1</v>
      </c>
      <c r="K68" s="20">
        <v>1</v>
      </c>
      <c r="L68" s="20">
        <v>1</v>
      </c>
      <c r="M68" s="20">
        <v>1</v>
      </c>
      <c r="N68" s="20">
        <v>1</v>
      </c>
      <c r="O68" s="20">
        <v>1</v>
      </c>
      <c r="P68" s="20">
        <v>1</v>
      </c>
      <c r="Q68" s="20">
        <v>1</v>
      </c>
      <c r="R68" s="20">
        <v>1</v>
      </c>
      <c r="S68" s="20">
        <v>1</v>
      </c>
      <c r="T68" s="20">
        <v>1</v>
      </c>
      <c r="U68" s="20">
        <v>1</v>
      </c>
      <c r="V68" s="20">
        <v>1</v>
      </c>
      <c r="W68" s="20">
        <v>1</v>
      </c>
      <c r="X68" s="20">
        <v>1</v>
      </c>
      <c r="Y68" s="20">
        <v>1</v>
      </c>
      <c r="Z68" s="20">
        <v>1</v>
      </c>
      <c r="AA68" s="20">
        <v>1</v>
      </c>
      <c r="AB68" s="20">
        <v>1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20">
        <v>1</v>
      </c>
      <c r="AJ68" s="20">
        <v>1</v>
      </c>
      <c r="AK68" s="20">
        <v>1</v>
      </c>
      <c r="AL68" s="20">
        <v>1</v>
      </c>
      <c r="AM68" s="20">
        <v>1</v>
      </c>
      <c r="AN68" s="20">
        <v>1</v>
      </c>
      <c r="AO68" s="20">
        <v>1</v>
      </c>
      <c r="AP68" s="20">
        <v>1</v>
      </c>
      <c r="AQ68" s="21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</row>
    <row r="69" spans="1:49" ht="16.8" x14ac:dyDescent="0.3">
      <c r="A69" s="54"/>
      <c r="B69" s="54"/>
      <c r="C69" s="53" t="s">
        <v>154</v>
      </c>
      <c r="D69" s="53"/>
      <c r="E69" s="48" t="s">
        <v>67</v>
      </c>
      <c r="F69" s="48"/>
      <c r="G69" s="20">
        <v>1</v>
      </c>
      <c r="H69" s="20">
        <v>2</v>
      </c>
      <c r="I69" s="20">
        <v>1</v>
      </c>
      <c r="J69" s="20">
        <v>1</v>
      </c>
      <c r="K69" s="20">
        <v>1</v>
      </c>
      <c r="L69" s="20">
        <v>1</v>
      </c>
      <c r="M69" s="20">
        <v>1</v>
      </c>
      <c r="N69" s="20">
        <v>1</v>
      </c>
      <c r="O69" s="20">
        <v>1</v>
      </c>
      <c r="P69" s="20">
        <v>1</v>
      </c>
      <c r="Q69" s="20">
        <v>1</v>
      </c>
      <c r="R69" s="20">
        <v>1</v>
      </c>
      <c r="S69" s="20">
        <v>1</v>
      </c>
      <c r="T69" s="20">
        <v>1</v>
      </c>
      <c r="U69" s="20">
        <v>1</v>
      </c>
      <c r="V69" s="20">
        <v>1</v>
      </c>
      <c r="W69" s="20">
        <v>1</v>
      </c>
      <c r="X69" s="20">
        <v>1</v>
      </c>
      <c r="Y69" s="20">
        <v>1</v>
      </c>
      <c r="Z69" s="20">
        <v>1</v>
      </c>
      <c r="AA69" s="20">
        <v>1</v>
      </c>
      <c r="AB69" s="20">
        <v>1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20">
        <v>1</v>
      </c>
      <c r="AJ69" s="20">
        <v>1</v>
      </c>
      <c r="AK69" s="20">
        <v>1</v>
      </c>
      <c r="AL69" s="20">
        <v>1</v>
      </c>
      <c r="AM69" s="20">
        <v>1</v>
      </c>
      <c r="AN69" s="20">
        <v>1</v>
      </c>
      <c r="AO69" s="20">
        <v>1</v>
      </c>
      <c r="AP69" s="20">
        <v>1</v>
      </c>
      <c r="AQ69" s="20">
        <v>1</v>
      </c>
      <c r="AR69" s="21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</row>
    <row r="70" spans="1:49" ht="16.8" x14ac:dyDescent="0.3">
      <c r="A70" s="54"/>
      <c r="B70" s="54"/>
      <c r="C70" s="51"/>
      <c r="D70" s="52"/>
      <c r="E70" s="51"/>
      <c r="F70" s="52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44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2">
        <v>1</v>
      </c>
      <c r="AS70" s="20"/>
      <c r="AT70" s="20"/>
      <c r="AU70" s="20"/>
      <c r="AV70" s="20"/>
      <c r="AW70" s="20"/>
    </row>
    <row r="71" spans="1:49" ht="16.8" x14ac:dyDescent="0.3">
      <c r="A71" s="54"/>
      <c r="B71" s="54"/>
      <c r="C71" s="53" t="s">
        <v>155</v>
      </c>
      <c r="D71" s="53"/>
      <c r="E71" s="48" t="s">
        <v>65</v>
      </c>
      <c r="F71" s="48"/>
      <c r="G71" s="20">
        <v>2</v>
      </c>
      <c r="H71" s="20">
        <v>2</v>
      </c>
      <c r="I71" s="20">
        <v>2</v>
      </c>
      <c r="J71" s="20">
        <v>2</v>
      </c>
      <c r="K71" s="20">
        <v>2</v>
      </c>
      <c r="L71" s="20">
        <v>2</v>
      </c>
      <c r="M71" s="20">
        <v>2</v>
      </c>
      <c r="N71" s="20">
        <v>2</v>
      </c>
      <c r="O71" s="20">
        <v>2</v>
      </c>
      <c r="P71" s="20">
        <v>2</v>
      </c>
      <c r="Q71" s="20">
        <v>2</v>
      </c>
      <c r="R71" s="20">
        <v>2</v>
      </c>
      <c r="S71" s="20">
        <v>2</v>
      </c>
      <c r="T71" s="20">
        <v>2</v>
      </c>
      <c r="U71" s="20">
        <v>2</v>
      </c>
      <c r="V71" s="20">
        <v>2</v>
      </c>
      <c r="W71" s="20">
        <v>2</v>
      </c>
      <c r="X71" s="20">
        <v>2</v>
      </c>
      <c r="Y71" s="20">
        <v>2</v>
      </c>
      <c r="Z71" s="20">
        <v>2</v>
      </c>
      <c r="AA71" s="20">
        <v>2</v>
      </c>
      <c r="AB71" s="20">
        <v>2</v>
      </c>
      <c r="AC71" s="20">
        <v>2</v>
      </c>
      <c r="AD71" s="20">
        <v>2</v>
      </c>
      <c r="AE71" s="20">
        <v>2</v>
      </c>
      <c r="AF71" s="20">
        <v>2</v>
      </c>
      <c r="AG71" s="20">
        <v>2</v>
      </c>
      <c r="AH71" s="20">
        <v>2</v>
      </c>
      <c r="AI71" s="20">
        <v>2</v>
      </c>
      <c r="AJ71" s="20">
        <v>2</v>
      </c>
      <c r="AK71" s="20">
        <v>2</v>
      </c>
      <c r="AL71" s="20">
        <v>2</v>
      </c>
      <c r="AM71" s="20">
        <v>2</v>
      </c>
      <c r="AN71" s="20">
        <v>2</v>
      </c>
      <c r="AO71" s="20">
        <v>2</v>
      </c>
      <c r="AP71" s="20">
        <v>2</v>
      </c>
      <c r="AQ71" s="20">
        <v>2</v>
      </c>
      <c r="AR71" s="20">
        <v>2</v>
      </c>
      <c r="AS71" s="21">
        <v>0</v>
      </c>
      <c r="AT71" s="20">
        <v>0</v>
      </c>
      <c r="AU71" s="20">
        <v>0</v>
      </c>
      <c r="AV71" s="20">
        <v>0</v>
      </c>
      <c r="AW71" s="20">
        <v>0</v>
      </c>
    </row>
    <row r="72" spans="1:49" ht="16.8" x14ac:dyDescent="0.3">
      <c r="A72" s="54"/>
      <c r="B72" s="54"/>
      <c r="C72" s="53" t="s">
        <v>156</v>
      </c>
      <c r="D72" s="53"/>
      <c r="E72" s="48" t="s">
        <v>65</v>
      </c>
      <c r="F72" s="48"/>
      <c r="G72" s="20">
        <v>2</v>
      </c>
      <c r="H72" s="20">
        <v>2</v>
      </c>
      <c r="I72" s="20">
        <v>2</v>
      </c>
      <c r="J72" s="20">
        <v>2</v>
      </c>
      <c r="K72" s="20">
        <v>2</v>
      </c>
      <c r="L72" s="20">
        <v>2</v>
      </c>
      <c r="M72" s="20">
        <v>2</v>
      </c>
      <c r="N72" s="20">
        <v>2</v>
      </c>
      <c r="O72" s="20">
        <v>2</v>
      </c>
      <c r="P72" s="20">
        <v>2</v>
      </c>
      <c r="Q72" s="20">
        <v>2</v>
      </c>
      <c r="R72" s="20">
        <v>2</v>
      </c>
      <c r="S72" s="20">
        <v>2</v>
      </c>
      <c r="T72" s="20">
        <v>2</v>
      </c>
      <c r="U72" s="20">
        <v>2</v>
      </c>
      <c r="V72" s="20">
        <v>2</v>
      </c>
      <c r="W72" s="20">
        <v>2</v>
      </c>
      <c r="X72" s="20">
        <v>2</v>
      </c>
      <c r="Y72" s="20">
        <v>2</v>
      </c>
      <c r="Z72" s="20">
        <v>2</v>
      </c>
      <c r="AA72" s="20">
        <v>2</v>
      </c>
      <c r="AB72" s="20">
        <v>2</v>
      </c>
      <c r="AC72" s="20">
        <v>2</v>
      </c>
      <c r="AD72" s="20">
        <v>2</v>
      </c>
      <c r="AE72" s="20">
        <v>2</v>
      </c>
      <c r="AF72" s="20">
        <v>2</v>
      </c>
      <c r="AG72" s="20">
        <v>2</v>
      </c>
      <c r="AH72" s="20">
        <v>2</v>
      </c>
      <c r="AI72" s="20">
        <v>2</v>
      </c>
      <c r="AJ72" s="20">
        <v>2</v>
      </c>
      <c r="AK72" s="20">
        <v>2</v>
      </c>
      <c r="AL72" s="20">
        <v>2</v>
      </c>
      <c r="AM72" s="20">
        <v>2</v>
      </c>
      <c r="AN72" s="20">
        <v>2</v>
      </c>
      <c r="AO72" s="20">
        <v>2</v>
      </c>
      <c r="AP72" s="20">
        <v>2</v>
      </c>
      <c r="AQ72" s="20">
        <v>2</v>
      </c>
      <c r="AR72" s="20">
        <v>2</v>
      </c>
      <c r="AS72" s="21">
        <v>0</v>
      </c>
      <c r="AT72" s="20">
        <v>0</v>
      </c>
      <c r="AU72" s="20">
        <v>0</v>
      </c>
      <c r="AV72" s="20">
        <v>0</v>
      </c>
      <c r="AW72" s="20">
        <v>0</v>
      </c>
    </row>
    <row r="73" spans="1:49" ht="16.8" x14ac:dyDescent="0.3">
      <c r="A73" s="54"/>
      <c r="B73" s="54" t="s">
        <v>29</v>
      </c>
      <c r="C73" s="49" t="s">
        <v>158</v>
      </c>
      <c r="D73" s="50"/>
      <c r="E73" s="48" t="s">
        <v>150</v>
      </c>
      <c r="F73" s="48"/>
      <c r="G73" s="20">
        <v>2</v>
      </c>
      <c r="H73" s="20">
        <v>2</v>
      </c>
      <c r="I73" s="20">
        <v>2</v>
      </c>
      <c r="J73" s="20">
        <v>2</v>
      </c>
      <c r="K73" s="20">
        <v>2</v>
      </c>
      <c r="L73" s="20">
        <v>2</v>
      </c>
      <c r="M73" s="20">
        <v>2</v>
      </c>
      <c r="N73" s="20">
        <v>2</v>
      </c>
      <c r="O73" s="20">
        <v>2</v>
      </c>
      <c r="P73" s="20">
        <v>2</v>
      </c>
      <c r="Q73" s="20">
        <v>2</v>
      </c>
      <c r="R73" s="20">
        <v>2</v>
      </c>
      <c r="S73" s="20">
        <v>2</v>
      </c>
      <c r="T73" s="20">
        <v>2</v>
      </c>
      <c r="U73" s="20">
        <v>2</v>
      </c>
      <c r="V73" s="20">
        <v>2</v>
      </c>
      <c r="W73" s="20">
        <v>2</v>
      </c>
      <c r="X73" s="20">
        <v>2</v>
      </c>
      <c r="Y73" s="20">
        <v>2</v>
      </c>
      <c r="Z73" s="20">
        <v>2</v>
      </c>
      <c r="AA73" s="20">
        <v>2</v>
      </c>
      <c r="AB73" s="20">
        <v>2</v>
      </c>
      <c r="AC73" s="20">
        <v>2</v>
      </c>
      <c r="AD73" s="20">
        <v>2</v>
      </c>
      <c r="AE73" s="20">
        <v>2</v>
      </c>
      <c r="AF73" s="20">
        <v>2</v>
      </c>
      <c r="AG73" s="20">
        <v>2</v>
      </c>
      <c r="AH73" s="20">
        <v>2</v>
      </c>
      <c r="AI73" s="20">
        <v>2</v>
      </c>
      <c r="AJ73" s="20">
        <v>2</v>
      </c>
      <c r="AK73" s="20">
        <v>2</v>
      </c>
      <c r="AL73" s="20">
        <v>2</v>
      </c>
      <c r="AM73" s="20">
        <v>2</v>
      </c>
      <c r="AN73" s="20">
        <v>2</v>
      </c>
      <c r="AO73" s="20">
        <v>2</v>
      </c>
      <c r="AP73" s="20">
        <v>2</v>
      </c>
      <c r="AQ73" s="20">
        <v>2</v>
      </c>
      <c r="AR73" s="20">
        <v>2</v>
      </c>
      <c r="AS73" s="20">
        <v>2</v>
      </c>
      <c r="AT73" s="21">
        <v>0</v>
      </c>
      <c r="AU73" s="20">
        <v>0</v>
      </c>
      <c r="AV73" s="20">
        <v>0</v>
      </c>
      <c r="AW73" s="20">
        <v>0</v>
      </c>
    </row>
    <row r="74" spans="1:49" ht="16.8" x14ac:dyDescent="0.3">
      <c r="A74" s="54"/>
      <c r="B74" s="54"/>
      <c r="C74" s="53" t="s">
        <v>159</v>
      </c>
      <c r="D74" s="53"/>
      <c r="E74" s="48" t="s">
        <v>150</v>
      </c>
      <c r="F74" s="48"/>
      <c r="G74" s="20">
        <v>2</v>
      </c>
      <c r="H74" s="20">
        <v>2</v>
      </c>
      <c r="I74" s="20">
        <v>2</v>
      </c>
      <c r="J74" s="20">
        <v>2</v>
      </c>
      <c r="K74" s="20">
        <v>2</v>
      </c>
      <c r="L74" s="20">
        <v>2</v>
      </c>
      <c r="M74" s="20">
        <v>2</v>
      </c>
      <c r="N74" s="20">
        <v>2</v>
      </c>
      <c r="O74" s="20">
        <v>2</v>
      </c>
      <c r="P74" s="20">
        <v>2</v>
      </c>
      <c r="Q74" s="20">
        <v>2</v>
      </c>
      <c r="R74" s="20">
        <v>2</v>
      </c>
      <c r="S74" s="20">
        <v>2</v>
      </c>
      <c r="T74" s="20">
        <v>2</v>
      </c>
      <c r="U74" s="20">
        <v>2</v>
      </c>
      <c r="V74" s="20">
        <v>2</v>
      </c>
      <c r="W74" s="20">
        <v>2</v>
      </c>
      <c r="X74" s="20">
        <v>2</v>
      </c>
      <c r="Y74" s="20">
        <v>2</v>
      </c>
      <c r="Z74" s="20">
        <v>2</v>
      </c>
      <c r="AA74" s="20">
        <v>2</v>
      </c>
      <c r="AB74" s="20">
        <v>2</v>
      </c>
      <c r="AC74" s="20">
        <v>2</v>
      </c>
      <c r="AD74" s="20">
        <v>2</v>
      </c>
      <c r="AE74" s="20">
        <v>2</v>
      </c>
      <c r="AF74" s="20">
        <v>2</v>
      </c>
      <c r="AG74" s="20">
        <v>2</v>
      </c>
      <c r="AH74" s="20">
        <v>2</v>
      </c>
      <c r="AI74" s="20">
        <v>2</v>
      </c>
      <c r="AJ74" s="20">
        <v>2</v>
      </c>
      <c r="AK74" s="20">
        <v>2</v>
      </c>
      <c r="AL74" s="20">
        <v>2</v>
      </c>
      <c r="AM74" s="20">
        <v>2</v>
      </c>
      <c r="AN74" s="20">
        <v>2</v>
      </c>
      <c r="AO74" s="20">
        <v>2</v>
      </c>
      <c r="AP74" s="20">
        <v>2</v>
      </c>
      <c r="AQ74" s="20">
        <v>2</v>
      </c>
      <c r="AR74" s="20">
        <v>2</v>
      </c>
      <c r="AS74" s="20">
        <v>2</v>
      </c>
      <c r="AT74" s="21">
        <v>0</v>
      </c>
      <c r="AU74" s="20">
        <v>0</v>
      </c>
      <c r="AV74" s="20">
        <v>0</v>
      </c>
      <c r="AW74" s="20">
        <v>0</v>
      </c>
    </row>
    <row r="75" spans="1:49" ht="16.8" x14ac:dyDescent="0.3">
      <c r="A75" s="54"/>
      <c r="B75" s="54"/>
      <c r="C75" s="56" t="s">
        <v>160</v>
      </c>
      <c r="D75" s="57"/>
      <c r="E75" s="48" t="s">
        <v>60</v>
      </c>
      <c r="F75" s="48"/>
      <c r="G75" s="20">
        <v>1</v>
      </c>
      <c r="H75" s="20">
        <v>1</v>
      </c>
      <c r="I75" s="20">
        <v>2</v>
      </c>
      <c r="J75" s="20">
        <v>2</v>
      </c>
      <c r="K75" s="20">
        <v>2</v>
      </c>
      <c r="L75" s="20">
        <v>2</v>
      </c>
      <c r="M75" s="20">
        <v>2</v>
      </c>
      <c r="N75" s="20">
        <v>2</v>
      </c>
      <c r="O75" s="20">
        <v>2</v>
      </c>
      <c r="P75" s="20">
        <v>2</v>
      </c>
      <c r="Q75" s="20">
        <v>2</v>
      </c>
      <c r="R75" s="20">
        <v>2</v>
      </c>
      <c r="S75" s="20">
        <v>2</v>
      </c>
      <c r="T75" s="20">
        <v>2</v>
      </c>
      <c r="U75" s="20">
        <v>2</v>
      </c>
      <c r="V75" s="20">
        <v>2</v>
      </c>
      <c r="W75" s="20">
        <v>2</v>
      </c>
      <c r="X75" s="20">
        <v>2</v>
      </c>
      <c r="Y75" s="20">
        <v>2</v>
      </c>
      <c r="Z75" s="20">
        <v>2</v>
      </c>
      <c r="AA75" s="20">
        <v>2</v>
      </c>
      <c r="AB75" s="20">
        <v>2</v>
      </c>
      <c r="AC75" s="20">
        <v>2</v>
      </c>
      <c r="AD75" s="20">
        <v>2</v>
      </c>
      <c r="AE75" s="20">
        <v>2</v>
      </c>
      <c r="AF75" s="20">
        <v>2</v>
      </c>
      <c r="AG75" s="20">
        <v>2</v>
      </c>
      <c r="AH75" s="20">
        <v>2</v>
      </c>
      <c r="AI75" s="20">
        <v>2</v>
      </c>
      <c r="AJ75" s="20">
        <v>2</v>
      </c>
      <c r="AK75" s="20">
        <v>2</v>
      </c>
      <c r="AL75" s="20">
        <v>2</v>
      </c>
      <c r="AM75" s="20">
        <v>2</v>
      </c>
      <c r="AN75" s="20">
        <v>2</v>
      </c>
      <c r="AO75" s="20">
        <v>2</v>
      </c>
      <c r="AP75" s="20">
        <v>2</v>
      </c>
      <c r="AQ75" s="20">
        <v>2</v>
      </c>
      <c r="AR75" s="20">
        <v>2</v>
      </c>
      <c r="AS75" s="20">
        <v>2</v>
      </c>
      <c r="AT75" s="21">
        <v>0</v>
      </c>
      <c r="AU75" s="20">
        <v>0</v>
      </c>
      <c r="AV75" s="20">
        <v>0</v>
      </c>
      <c r="AW75" s="20">
        <v>0</v>
      </c>
    </row>
    <row r="76" spans="1:49" ht="16.8" x14ac:dyDescent="0.3">
      <c r="A76" s="54"/>
      <c r="B76" s="54"/>
      <c r="C76" s="53" t="s">
        <v>161</v>
      </c>
      <c r="D76" s="53"/>
      <c r="E76" s="48" t="s">
        <v>60</v>
      </c>
      <c r="F76" s="48"/>
      <c r="G76" s="20">
        <v>1</v>
      </c>
      <c r="H76" s="20">
        <v>1</v>
      </c>
      <c r="I76" s="20">
        <v>1</v>
      </c>
      <c r="J76" s="20">
        <v>1</v>
      </c>
      <c r="K76" s="20">
        <v>1</v>
      </c>
      <c r="L76" s="20">
        <v>1</v>
      </c>
      <c r="M76" s="20">
        <v>1</v>
      </c>
      <c r="N76" s="20">
        <v>1</v>
      </c>
      <c r="O76" s="20">
        <v>1</v>
      </c>
      <c r="P76" s="20">
        <v>1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>
        <v>1</v>
      </c>
      <c r="X76" s="20">
        <v>1</v>
      </c>
      <c r="Y76" s="20">
        <v>1</v>
      </c>
      <c r="Z76" s="20">
        <v>1</v>
      </c>
      <c r="AA76" s="20">
        <v>1</v>
      </c>
      <c r="AB76" s="20">
        <v>1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20">
        <v>1</v>
      </c>
      <c r="AJ76" s="20">
        <v>1</v>
      </c>
      <c r="AK76" s="20">
        <v>1</v>
      </c>
      <c r="AL76" s="20">
        <v>1</v>
      </c>
      <c r="AM76" s="20">
        <v>1</v>
      </c>
      <c r="AN76" s="20">
        <v>1</v>
      </c>
      <c r="AO76" s="20">
        <v>1</v>
      </c>
      <c r="AP76" s="20">
        <v>1</v>
      </c>
      <c r="AQ76" s="20">
        <v>1</v>
      </c>
      <c r="AR76" s="20">
        <v>1</v>
      </c>
      <c r="AS76" s="20">
        <v>1</v>
      </c>
      <c r="AT76" s="21">
        <v>0</v>
      </c>
      <c r="AU76" s="44">
        <v>0</v>
      </c>
      <c r="AV76" s="20">
        <v>0</v>
      </c>
      <c r="AW76" s="20">
        <v>0</v>
      </c>
    </row>
    <row r="77" spans="1:49" ht="16.8" x14ac:dyDescent="0.3">
      <c r="A77" s="54"/>
      <c r="B77" s="54"/>
      <c r="C77" s="53" t="s">
        <v>162</v>
      </c>
      <c r="D77" s="53"/>
      <c r="E77" s="48" t="s">
        <v>60</v>
      </c>
      <c r="F77" s="48"/>
      <c r="G77" s="20">
        <v>2</v>
      </c>
      <c r="H77" s="20">
        <v>2</v>
      </c>
      <c r="I77" s="20">
        <v>2</v>
      </c>
      <c r="J77" s="20">
        <v>2</v>
      </c>
      <c r="K77" s="20">
        <v>2</v>
      </c>
      <c r="L77" s="20">
        <v>2</v>
      </c>
      <c r="M77" s="20">
        <v>2</v>
      </c>
      <c r="N77" s="20">
        <v>2</v>
      </c>
      <c r="O77" s="20">
        <v>2</v>
      </c>
      <c r="P77" s="20">
        <v>2</v>
      </c>
      <c r="Q77" s="20">
        <v>2</v>
      </c>
      <c r="R77" s="20">
        <v>2</v>
      </c>
      <c r="S77" s="20">
        <v>2</v>
      </c>
      <c r="T77" s="20">
        <v>2</v>
      </c>
      <c r="U77" s="20">
        <v>2</v>
      </c>
      <c r="V77" s="20">
        <v>2</v>
      </c>
      <c r="W77" s="20">
        <v>2</v>
      </c>
      <c r="X77" s="20">
        <v>2</v>
      </c>
      <c r="Y77" s="20">
        <v>2</v>
      </c>
      <c r="Z77" s="20">
        <v>2</v>
      </c>
      <c r="AA77" s="20">
        <v>2</v>
      </c>
      <c r="AB77" s="20">
        <v>2</v>
      </c>
      <c r="AC77" s="20">
        <v>2</v>
      </c>
      <c r="AD77" s="20">
        <v>2</v>
      </c>
      <c r="AE77" s="20">
        <v>2</v>
      </c>
      <c r="AF77" s="20">
        <v>2</v>
      </c>
      <c r="AG77" s="20">
        <v>2</v>
      </c>
      <c r="AH77" s="20">
        <v>2</v>
      </c>
      <c r="AI77" s="20">
        <v>2</v>
      </c>
      <c r="AJ77" s="20">
        <v>2</v>
      </c>
      <c r="AK77" s="20">
        <v>2</v>
      </c>
      <c r="AL77" s="20">
        <v>2</v>
      </c>
      <c r="AM77" s="20">
        <v>2</v>
      </c>
      <c r="AN77" s="20">
        <v>2</v>
      </c>
      <c r="AO77" s="20">
        <v>2</v>
      </c>
      <c r="AP77" s="20">
        <v>2</v>
      </c>
      <c r="AQ77" s="20">
        <v>2</v>
      </c>
      <c r="AR77" s="20">
        <v>2</v>
      </c>
      <c r="AS77" s="20">
        <v>2</v>
      </c>
      <c r="AT77" s="20">
        <v>2</v>
      </c>
      <c r="AU77" s="21">
        <v>0</v>
      </c>
      <c r="AV77" s="20">
        <v>0</v>
      </c>
      <c r="AW77" s="20">
        <v>0</v>
      </c>
    </row>
    <row r="78" spans="1:49" ht="16.8" x14ac:dyDescent="0.3">
      <c r="A78" s="54"/>
      <c r="B78" s="54"/>
      <c r="C78" s="53" t="s">
        <v>163</v>
      </c>
      <c r="D78" s="53"/>
      <c r="E78" s="48" t="s">
        <v>60</v>
      </c>
      <c r="F78" s="48"/>
      <c r="G78" s="20">
        <v>2</v>
      </c>
      <c r="H78" s="20">
        <v>2</v>
      </c>
      <c r="I78" s="20">
        <v>2</v>
      </c>
      <c r="J78" s="20">
        <v>2</v>
      </c>
      <c r="K78" s="20">
        <v>2</v>
      </c>
      <c r="L78" s="20">
        <v>2</v>
      </c>
      <c r="M78" s="20">
        <v>2</v>
      </c>
      <c r="N78" s="20">
        <v>2</v>
      </c>
      <c r="O78" s="20">
        <v>2</v>
      </c>
      <c r="P78" s="20">
        <v>2</v>
      </c>
      <c r="Q78" s="20">
        <v>2</v>
      </c>
      <c r="R78" s="20">
        <v>2</v>
      </c>
      <c r="S78" s="20">
        <v>2</v>
      </c>
      <c r="T78" s="20">
        <v>2</v>
      </c>
      <c r="U78" s="20">
        <v>2</v>
      </c>
      <c r="V78" s="20">
        <v>2</v>
      </c>
      <c r="W78" s="20">
        <v>2</v>
      </c>
      <c r="X78" s="20">
        <v>2</v>
      </c>
      <c r="Y78" s="20">
        <v>2</v>
      </c>
      <c r="Z78" s="20">
        <v>2</v>
      </c>
      <c r="AA78" s="20">
        <v>2</v>
      </c>
      <c r="AB78" s="20">
        <v>2</v>
      </c>
      <c r="AC78" s="20">
        <v>2</v>
      </c>
      <c r="AD78" s="20">
        <v>2</v>
      </c>
      <c r="AE78" s="20">
        <v>2</v>
      </c>
      <c r="AF78" s="20">
        <v>2</v>
      </c>
      <c r="AG78" s="20">
        <v>2</v>
      </c>
      <c r="AH78" s="20">
        <v>2</v>
      </c>
      <c r="AI78" s="20">
        <v>2</v>
      </c>
      <c r="AJ78" s="20">
        <v>2</v>
      </c>
      <c r="AK78" s="20">
        <v>2</v>
      </c>
      <c r="AL78" s="20">
        <v>2</v>
      </c>
      <c r="AM78" s="20">
        <v>2</v>
      </c>
      <c r="AN78" s="20">
        <v>2</v>
      </c>
      <c r="AO78" s="20">
        <v>2</v>
      </c>
      <c r="AP78" s="20">
        <v>2</v>
      </c>
      <c r="AQ78" s="20">
        <v>2</v>
      </c>
      <c r="AR78" s="20">
        <v>2</v>
      </c>
      <c r="AS78" s="20">
        <v>2</v>
      </c>
      <c r="AT78" s="20">
        <v>2</v>
      </c>
      <c r="AU78" s="21">
        <v>0</v>
      </c>
      <c r="AV78" s="20">
        <v>0</v>
      </c>
      <c r="AW78" s="20">
        <v>0</v>
      </c>
    </row>
    <row r="79" spans="1:49" ht="16.8" x14ac:dyDescent="0.3">
      <c r="A79" s="54"/>
      <c r="B79" s="54"/>
      <c r="C79" s="53" t="s">
        <v>164</v>
      </c>
      <c r="D79" s="53"/>
      <c r="E79" s="48" t="s">
        <v>60</v>
      </c>
      <c r="F79" s="48"/>
      <c r="G79" s="20">
        <v>2</v>
      </c>
      <c r="H79" s="20">
        <v>2</v>
      </c>
      <c r="I79" s="20">
        <v>2</v>
      </c>
      <c r="J79" s="20">
        <v>2</v>
      </c>
      <c r="K79" s="20">
        <v>2</v>
      </c>
      <c r="L79" s="20">
        <v>2</v>
      </c>
      <c r="M79" s="20">
        <v>2</v>
      </c>
      <c r="N79" s="20">
        <v>2</v>
      </c>
      <c r="O79" s="20">
        <v>2</v>
      </c>
      <c r="P79" s="20">
        <v>2</v>
      </c>
      <c r="Q79" s="20">
        <v>2</v>
      </c>
      <c r="R79" s="20">
        <v>2</v>
      </c>
      <c r="S79" s="20">
        <v>2</v>
      </c>
      <c r="T79" s="20">
        <v>2</v>
      </c>
      <c r="U79" s="20">
        <v>2</v>
      </c>
      <c r="V79" s="20">
        <v>2</v>
      </c>
      <c r="W79" s="20">
        <v>2</v>
      </c>
      <c r="X79" s="20">
        <v>2</v>
      </c>
      <c r="Y79" s="20">
        <v>2</v>
      </c>
      <c r="Z79" s="20">
        <v>2</v>
      </c>
      <c r="AA79" s="20">
        <v>2</v>
      </c>
      <c r="AB79" s="20">
        <v>2</v>
      </c>
      <c r="AC79" s="20">
        <v>2</v>
      </c>
      <c r="AD79" s="20">
        <v>2</v>
      </c>
      <c r="AE79" s="20">
        <v>2</v>
      </c>
      <c r="AF79" s="20">
        <v>2</v>
      </c>
      <c r="AG79" s="20">
        <v>2</v>
      </c>
      <c r="AH79" s="20">
        <v>2</v>
      </c>
      <c r="AI79" s="20">
        <v>2</v>
      </c>
      <c r="AJ79" s="20">
        <v>2</v>
      </c>
      <c r="AK79" s="20">
        <v>2</v>
      </c>
      <c r="AL79" s="20">
        <v>2</v>
      </c>
      <c r="AM79" s="20">
        <v>2</v>
      </c>
      <c r="AN79" s="20">
        <v>2</v>
      </c>
      <c r="AO79" s="20">
        <v>2</v>
      </c>
      <c r="AP79" s="20">
        <v>2</v>
      </c>
      <c r="AQ79" s="20">
        <v>2</v>
      </c>
      <c r="AR79" s="20">
        <v>2</v>
      </c>
      <c r="AS79" s="20">
        <v>2</v>
      </c>
      <c r="AT79" s="20">
        <v>2</v>
      </c>
      <c r="AU79" s="21">
        <v>0</v>
      </c>
      <c r="AV79" s="20">
        <v>0</v>
      </c>
      <c r="AW79" s="20">
        <v>0</v>
      </c>
    </row>
    <row r="80" spans="1:49" ht="16.8" x14ac:dyDescent="0.3">
      <c r="A80" s="54"/>
      <c r="B80" s="54"/>
      <c r="C80" s="51"/>
      <c r="D80" s="52"/>
      <c r="E80" s="48"/>
      <c r="F80" s="48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44"/>
      <c r="Y80" s="20"/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</row>
    <row r="81" spans="1:49" ht="16.8" x14ac:dyDescent="0.3">
      <c r="A81" s="54"/>
      <c r="B81" s="54" t="s">
        <v>35</v>
      </c>
      <c r="C81" s="53" t="s">
        <v>38</v>
      </c>
      <c r="D81" s="53"/>
      <c r="E81" s="48" t="s">
        <v>43</v>
      </c>
      <c r="F81" s="48"/>
      <c r="G81" s="20">
        <v>5</v>
      </c>
      <c r="H81" s="20">
        <v>5</v>
      </c>
      <c r="I81" s="20">
        <v>5</v>
      </c>
      <c r="J81" s="20">
        <v>5</v>
      </c>
      <c r="K81" s="20">
        <v>5</v>
      </c>
      <c r="L81" s="20">
        <v>5</v>
      </c>
      <c r="M81" s="20">
        <v>5</v>
      </c>
      <c r="N81" s="20">
        <v>5</v>
      </c>
      <c r="O81" s="20">
        <v>5</v>
      </c>
      <c r="P81" s="20">
        <v>5</v>
      </c>
      <c r="Q81" s="20">
        <v>5</v>
      </c>
      <c r="R81" s="20">
        <v>5</v>
      </c>
      <c r="S81" s="20">
        <v>5</v>
      </c>
      <c r="T81" s="20">
        <v>5</v>
      </c>
      <c r="U81" s="20">
        <v>5</v>
      </c>
      <c r="V81" s="20">
        <v>5</v>
      </c>
      <c r="W81" s="20">
        <v>5</v>
      </c>
      <c r="X81" s="20">
        <v>5</v>
      </c>
      <c r="Y81" s="20">
        <v>5</v>
      </c>
      <c r="Z81" s="20">
        <v>5</v>
      </c>
      <c r="AA81" s="20">
        <v>5</v>
      </c>
      <c r="AB81" s="20">
        <v>5</v>
      </c>
      <c r="AC81" s="20">
        <v>5</v>
      </c>
      <c r="AD81" s="20">
        <v>5</v>
      </c>
      <c r="AE81" s="20">
        <v>5</v>
      </c>
      <c r="AF81" s="20">
        <v>5</v>
      </c>
      <c r="AG81" s="20">
        <v>5</v>
      </c>
      <c r="AH81" s="20">
        <v>5</v>
      </c>
      <c r="AI81" s="20">
        <v>5</v>
      </c>
      <c r="AJ81" s="20">
        <v>5</v>
      </c>
      <c r="AK81" s="20">
        <v>5</v>
      </c>
      <c r="AL81" s="20">
        <v>5</v>
      </c>
      <c r="AM81" s="20">
        <v>5</v>
      </c>
      <c r="AN81" s="20">
        <v>5</v>
      </c>
      <c r="AO81" s="20">
        <v>5</v>
      </c>
      <c r="AP81" s="20">
        <v>5</v>
      </c>
      <c r="AQ81" s="20">
        <v>5</v>
      </c>
      <c r="AR81" s="20">
        <v>5</v>
      </c>
      <c r="AS81" s="20">
        <v>5</v>
      </c>
      <c r="AT81" s="20">
        <v>5</v>
      </c>
      <c r="AU81" s="20">
        <v>5</v>
      </c>
      <c r="AV81" s="20">
        <v>5</v>
      </c>
      <c r="AW81" s="21">
        <v>0</v>
      </c>
    </row>
    <row r="82" spans="1:49" ht="16.8" x14ac:dyDescent="0.3">
      <c r="A82" s="54"/>
      <c r="B82" s="54"/>
      <c r="C82" s="53" t="s">
        <v>39</v>
      </c>
      <c r="D82" s="53"/>
      <c r="E82" s="48" t="s">
        <v>43</v>
      </c>
      <c r="F82" s="48"/>
      <c r="G82" s="20">
        <v>5</v>
      </c>
      <c r="H82" s="20">
        <v>5</v>
      </c>
      <c r="I82" s="20">
        <v>5</v>
      </c>
      <c r="J82" s="20">
        <v>5</v>
      </c>
      <c r="K82" s="20">
        <v>5</v>
      </c>
      <c r="L82" s="20">
        <v>5</v>
      </c>
      <c r="M82" s="20">
        <v>5</v>
      </c>
      <c r="N82" s="20">
        <v>5</v>
      </c>
      <c r="O82" s="20">
        <v>5</v>
      </c>
      <c r="P82" s="20">
        <v>5</v>
      </c>
      <c r="Q82" s="20">
        <v>5</v>
      </c>
      <c r="R82" s="20">
        <v>5</v>
      </c>
      <c r="S82" s="20">
        <v>5</v>
      </c>
      <c r="T82" s="20">
        <v>5</v>
      </c>
      <c r="U82" s="20">
        <v>5</v>
      </c>
      <c r="V82" s="20">
        <v>5</v>
      </c>
      <c r="W82" s="20">
        <v>5</v>
      </c>
      <c r="X82" s="20">
        <v>5</v>
      </c>
      <c r="Y82" s="20">
        <v>5</v>
      </c>
      <c r="Z82" s="20">
        <v>5</v>
      </c>
      <c r="AA82" s="20">
        <v>5</v>
      </c>
      <c r="AB82" s="20">
        <v>5</v>
      </c>
      <c r="AC82" s="20">
        <v>5</v>
      </c>
      <c r="AD82" s="20">
        <v>5</v>
      </c>
      <c r="AE82" s="20">
        <v>5</v>
      </c>
      <c r="AF82" s="20">
        <v>5</v>
      </c>
      <c r="AG82" s="20">
        <v>5</v>
      </c>
      <c r="AH82" s="20">
        <v>5</v>
      </c>
      <c r="AI82" s="20">
        <v>5</v>
      </c>
      <c r="AJ82" s="20">
        <v>5</v>
      </c>
      <c r="AK82" s="20">
        <v>5</v>
      </c>
      <c r="AL82" s="20">
        <v>5</v>
      </c>
      <c r="AM82" s="20">
        <v>5</v>
      </c>
      <c r="AN82" s="20">
        <v>5</v>
      </c>
      <c r="AO82" s="20">
        <v>5</v>
      </c>
      <c r="AP82" s="20">
        <v>5</v>
      </c>
      <c r="AQ82" s="20">
        <v>5</v>
      </c>
      <c r="AR82" s="20">
        <v>5</v>
      </c>
      <c r="AS82" s="20">
        <v>5</v>
      </c>
      <c r="AT82" s="20">
        <v>5</v>
      </c>
      <c r="AU82" s="20">
        <v>5</v>
      </c>
      <c r="AV82" s="20">
        <v>5</v>
      </c>
      <c r="AW82" s="21">
        <v>0</v>
      </c>
    </row>
    <row r="83" spans="1:49" ht="16.8" x14ac:dyDescent="0.3">
      <c r="A83" s="54"/>
      <c r="B83" s="74" t="s">
        <v>11</v>
      </c>
      <c r="C83" s="74"/>
      <c r="D83" s="74"/>
      <c r="E83" s="58" t="s">
        <v>10</v>
      </c>
      <c r="F83" s="58"/>
      <c r="G83" s="48">
        <f>SUM(G15:G82)</f>
        <v>124</v>
      </c>
      <c r="H83" s="48"/>
      <c r="I83" s="20">
        <f>SUM(I15:I82)</f>
        <v>108</v>
      </c>
      <c r="J83" s="20">
        <f>SUM(J15:J82)</f>
        <v>108</v>
      </c>
      <c r="K83" s="20">
        <f>SUM(K15:K82)-K17</f>
        <v>102</v>
      </c>
      <c r="L83" s="20">
        <f t="shared" ref="K83:AW83" si="0">SUM(L15:L82)</f>
        <v>100</v>
      </c>
      <c r="M83" s="20">
        <f t="shared" si="0"/>
        <v>98</v>
      </c>
      <c r="N83" s="20">
        <f>SUM(N15:N82)-N43</f>
        <v>89</v>
      </c>
      <c r="O83" s="20">
        <f t="shared" si="0"/>
        <v>88</v>
      </c>
      <c r="P83" s="20">
        <f t="shared" si="0"/>
        <v>84</v>
      </c>
      <c r="Q83" s="20">
        <f t="shared" si="0"/>
        <v>82</v>
      </c>
      <c r="R83" s="20">
        <f>SUM(R15:R82)-R27</f>
        <v>77</v>
      </c>
      <c r="S83" s="20">
        <f>SUM(S15:S82)-S35-S33-S31-S29</f>
        <v>72</v>
      </c>
      <c r="T83" s="20">
        <f>SUM(T15:T82)-T41-T39-T37</f>
        <v>69</v>
      </c>
      <c r="U83" s="20">
        <f t="shared" si="0"/>
        <v>69</v>
      </c>
      <c r="V83" s="20">
        <f>SUM(V15:V82)-V45</f>
        <v>68</v>
      </c>
      <c r="W83" s="20">
        <f t="shared" si="0"/>
        <v>67</v>
      </c>
      <c r="X83" s="20">
        <f t="shared" si="0"/>
        <v>66</v>
      </c>
      <c r="Y83" s="20">
        <f t="shared" si="0"/>
        <v>64</v>
      </c>
      <c r="Z83" s="20">
        <f t="shared" si="0"/>
        <v>62</v>
      </c>
      <c r="AA83" s="20">
        <f t="shared" si="0"/>
        <v>60</v>
      </c>
      <c r="AB83" s="20">
        <f t="shared" si="0"/>
        <v>60</v>
      </c>
      <c r="AC83" s="20">
        <f t="shared" si="0"/>
        <v>58</v>
      </c>
      <c r="AD83" s="20">
        <f>SUM(AD15:AD82)-AD54</f>
        <v>56</v>
      </c>
      <c r="AE83" s="20">
        <f t="shared" si="0"/>
        <v>53</v>
      </c>
      <c r="AF83" s="20">
        <f t="shared" si="0"/>
        <v>53</v>
      </c>
      <c r="AG83" s="20">
        <f>SUM(AG15:AG82)+AG57</f>
        <v>52</v>
      </c>
      <c r="AH83" s="20">
        <f t="shared" si="0"/>
        <v>48</v>
      </c>
      <c r="AI83" s="20">
        <f t="shared" si="0"/>
        <v>47</v>
      </c>
      <c r="AJ83" s="20">
        <f t="shared" si="0"/>
        <v>46</v>
      </c>
      <c r="AK83" s="20">
        <f t="shared" si="0"/>
        <v>44</v>
      </c>
      <c r="AL83" s="20">
        <f t="shared" si="0"/>
        <v>43</v>
      </c>
      <c r="AM83" s="20">
        <f t="shared" si="0"/>
        <v>42</v>
      </c>
      <c r="AN83" s="20">
        <f t="shared" si="0"/>
        <v>32</v>
      </c>
      <c r="AO83" s="20">
        <f>SUM(AO15:AO82)-AO66-AO64</f>
        <v>30</v>
      </c>
      <c r="AP83" s="20">
        <f t="shared" si="0"/>
        <v>29</v>
      </c>
      <c r="AQ83" s="20">
        <f t="shared" si="0"/>
        <v>28</v>
      </c>
      <c r="AR83" s="20">
        <f>SUM(AR15:AR82)-AR70</f>
        <v>27</v>
      </c>
      <c r="AS83" s="20">
        <f t="shared" si="0"/>
        <v>23</v>
      </c>
      <c r="AT83" s="20">
        <f t="shared" si="0"/>
        <v>16</v>
      </c>
      <c r="AU83" s="20">
        <f t="shared" si="0"/>
        <v>10</v>
      </c>
      <c r="AV83" s="20">
        <f t="shared" si="0"/>
        <v>10</v>
      </c>
      <c r="AW83" s="20">
        <f t="shared" si="0"/>
        <v>0</v>
      </c>
    </row>
    <row r="84" spans="1:49" ht="16.8" x14ac:dyDescent="0.3">
      <c r="A84" s="54"/>
      <c r="B84" s="74"/>
      <c r="C84" s="74"/>
      <c r="D84" s="74"/>
      <c r="E84" s="58" t="s">
        <v>44</v>
      </c>
      <c r="F84" s="58"/>
      <c r="G84" s="48">
        <f>SUM(H15:H82)</f>
        <v>147</v>
      </c>
      <c r="H84" s="48"/>
      <c r="I84" s="20">
        <f>SUM(I15:I82)</f>
        <v>108</v>
      </c>
      <c r="J84" s="20">
        <f t="shared" ref="J84:AW84" si="1">SUM(J15:J82)</f>
        <v>108</v>
      </c>
      <c r="K84" s="20">
        <f t="shared" si="1"/>
        <v>104</v>
      </c>
      <c r="L84" s="20">
        <f t="shared" si="1"/>
        <v>100</v>
      </c>
      <c r="M84" s="20">
        <f t="shared" si="1"/>
        <v>98</v>
      </c>
      <c r="N84" s="20">
        <f t="shared" si="1"/>
        <v>92</v>
      </c>
      <c r="O84" s="20">
        <f t="shared" si="1"/>
        <v>88</v>
      </c>
      <c r="P84" s="20">
        <f t="shared" si="1"/>
        <v>84</v>
      </c>
      <c r="Q84" s="20">
        <f t="shared" si="1"/>
        <v>82</v>
      </c>
      <c r="R84" s="20">
        <f t="shared" si="1"/>
        <v>82</v>
      </c>
      <c r="S84" s="20">
        <f t="shared" si="1"/>
        <v>76</v>
      </c>
      <c r="T84" s="20">
        <f t="shared" si="1"/>
        <v>72</v>
      </c>
      <c r="U84" s="20">
        <f t="shared" si="1"/>
        <v>69</v>
      </c>
      <c r="V84" s="20">
        <f t="shared" si="1"/>
        <v>69</v>
      </c>
      <c r="W84" s="20">
        <f t="shared" si="1"/>
        <v>67</v>
      </c>
      <c r="X84" s="20">
        <f t="shared" si="1"/>
        <v>66</v>
      </c>
      <c r="Y84" s="20">
        <f t="shared" si="1"/>
        <v>64</v>
      </c>
      <c r="Z84" s="20">
        <f t="shared" si="1"/>
        <v>62</v>
      </c>
      <c r="AA84" s="20">
        <f t="shared" si="1"/>
        <v>60</v>
      </c>
      <c r="AB84" s="20">
        <f t="shared" si="1"/>
        <v>60</v>
      </c>
      <c r="AC84" s="20">
        <f t="shared" si="1"/>
        <v>58</v>
      </c>
      <c r="AD84" s="20">
        <f t="shared" si="1"/>
        <v>57</v>
      </c>
      <c r="AE84" s="20">
        <f t="shared" si="1"/>
        <v>53</v>
      </c>
      <c r="AF84" s="20">
        <f t="shared" si="1"/>
        <v>53</v>
      </c>
      <c r="AG84" s="20">
        <f t="shared" si="1"/>
        <v>51</v>
      </c>
      <c r="AH84" s="20">
        <f t="shared" si="1"/>
        <v>48</v>
      </c>
      <c r="AI84" s="20">
        <f t="shared" si="1"/>
        <v>47</v>
      </c>
      <c r="AJ84" s="20">
        <f t="shared" si="1"/>
        <v>46</v>
      </c>
      <c r="AK84" s="20">
        <f t="shared" si="1"/>
        <v>44</v>
      </c>
      <c r="AL84" s="20">
        <f t="shared" si="1"/>
        <v>43</v>
      </c>
      <c r="AM84" s="20">
        <f t="shared" si="1"/>
        <v>42</v>
      </c>
      <c r="AN84" s="20">
        <f t="shared" si="1"/>
        <v>32</v>
      </c>
      <c r="AO84" s="20">
        <f t="shared" si="1"/>
        <v>32</v>
      </c>
      <c r="AP84" s="20">
        <f t="shared" si="1"/>
        <v>29</v>
      </c>
      <c r="AQ84" s="20">
        <f t="shared" si="1"/>
        <v>28</v>
      </c>
      <c r="AR84" s="20">
        <f t="shared" si="1"/>
        <v>28</v>
      </c>
      <c r="AS84" s="20">
        <f t="shared" si="1"/>
        <v>23</v>
      </c>
      <c r="AT84" s="20">
        <f t="shared" si="1"/>
        <v>16</v>
      </c>
      <c r="AU84" s="20">
        <f t="shared" si="1"/>
        <v>10</v>
      </c>
      <c r="AV84" s="20">
        <f t="shared" si="1"/>
        <v>10</v>
      </c>
      <c r="AW84" s="20">
        <f t="shared" si="1"/>
        <v>0</v>
      </c>
    </row>
    <row r="105" spans="3:4" x14ac:dyDescent="0.3">
      <c r="C105" s="70"/>
      <c r="D105" s="70"/>
    </row>
  </sheetData>
  <mergeCells count="155">
    <mergeCell ref="E40:F40"/>
    <mergeCell ref="C41:D41"/>
    <mergeCell ref="E41:F41"/>
    <mergeCell ref="C51:D51"/>
    <mergeCell ref="E51:F51"/>
    <mergeCell ref="E66:F66"/>
    <mergeCell ref="E69:F69"/>
    <mergeCell ref="E70:F70"/>
    <mergeCell ref="C70:D70"/>
    <mergeCell ref="E57:F57"/>
    <mergeCell ref="E64:F64"/>
    <mergeCell ref="E56:F56"/>
    <mergeCell ref="E58:F58"/>
    <mergeCell ref="E59:F59"/>
    <mergeCell ref="E60:F60"/>
    <mergeCell ref="C46:D46"/>
    <mergeCell ref="E54:F54"/>
    <mergeCell ref="C54:D54"/>
    <mergeCell ref="A1:B1"/>
    <mergeCell ref="A2:B2"/>
    <mergeCell ref="A3:B3"/>
    <mergeCell ref="A4:B4"/>
    <mergeCell ref="B6:E6"/>
    <mergeCell ref="A15:A84"/>
    <mergeCell ref="E83:F83"/>
    <mergeCell ref="E84:F84"/>
    <mergeCell ref="C74:D74"/>
    <mergeCell ref="C76:D76"/>
    <mergeCell ref="E38:F38"/>
    <mergeCell ref="E42:F42"/>
    <mergeCell ref="E44:F44"/>
    <mergeCell ref="E46:F46"/>
    <mergeCell ref="E47:F47"/>
    <mergeCell ref="E28:F28"/>
    <mergeCell ref="E30:F30"/>
    <mergeCell ref="E32:F32"/>
    <mergeCell ref="E71:F71"/>
    <mergeCell ref="E55:F55"/>
    <mergeCell ref="B83:D84"/>
    <mergeCell ref="B19:B27"/>
    <mergeCell ref="C27:D27"/>
    <mergeCell ref="E27:F27"/>
    <mergeCell ref="B12:C12"/>
    <mergeCell ref="E15:F15"/>
    <mergeCell ref="E16:F16"/>
    <mergeCell ref="E18:F18"/>
    <mergeCell ref="E19:F19"/>
    <mergeCell ref="E63:F63"/>
    <mergeCell ref="E65:F65"/>
    <mergeCell ref="E68:F68"/>
    <mergeCell ref="C26:D26"/>
    <mergeCell ref="C14:D14"/>
    <mergeCell ref="E14:F14"/>
    <mergeCell ref="B15:D15"/>
    <mergeCell ref="B16:D16"/>
    <mergeCell ref="B18:D18"/>
    <mergeCell ref="C19:D19"/>
    <mergeCell ref="E20:F20"/>
    <mergeCell ref="E21:F21"/>
    <mergeCell ref="E22:F22"/>
    <mergeCell ref="E23:F23"/>
    <mergeCell ref="E24:F24"/>
    <mergeCell ref="E26:F26"/>
    <mergeCell ref="C20:D20"/>
    <mergeCell ref="C21:D21"/>
    <mergeCell ref="C22:D22"/>
    <mergeCell ref="C23:D23"/>
    <mergeCell ref="C24:D24"/>
    <mergeCell ref="B44:B62"/>
    <mergeCell ref="B81:B82"/>
    <mergeCell ref="C81:D81"/>
    <mergeCell ref="C82:D82"/>
    <mergeCell ref="C77:D77"/>
    <mergeCell ref="C78:D78"/>
    <mergeCell ref="B73:B80"/>
    <mergeCell ref="B63:B72"/>
    <mergeCell ref="C71:D71"/>
    <mergeCell ref="C28:D28"/>
    <mergeCell ref="C61:D61"/>
    <mergeCell ref="C65:D65"/>
    <mergeCell ref="C68:D68"/>
    <mergeCell ref="C69:D69"/>
    <mergeCell ref="C25:D25"/>
    <mergeCell ref="C52:D52"/>
    <mergeCell ref="C53:D53"/>
    <mergeCell ref="C55:D55"/>
    <mergeCell ref="C56:D56"/>
    <mergeCell ref="C58:D58"/>
    <mergeCell ref="C42:D42"/>
    <mergeCell ref="C44:D44"/>
    <mergeCell ref="C105:D105"/>
    <mergeCell ref="C59:D59"/>
    <mergeCell ref="C60:D60"/>
    <mergeCell ref="C62:D62"/>
    <mergeCell ref="C63:D63"/>
    <mergeCell ref="C50:D50"/>
    <mergeCell ref="C47:D47"/>
    <mergeCell ref="C48:D48"/>
    <mergeCell ref="E62:F62"/>
    <mergeCell ref="E48:F48"/>
    <mergeCell ref="E50:F50"/>
    <mergeCell ref="E52:F52"/>
    <mergeCell ref="E53:F53"/>
    <mergeCell ref="C67:D67"/>
    <mergeCell ref="E61:F61"/>
    <mergeCell ref="E81:F81"/>
    <mergeCell ref="E82:F82"/>
    <mergeCell ref="E78:F78"/>
    <mergeCell ref="E79:F79"/>
    <mergeCell ref="E72:F72"/>
    <mergeCell ref="E73:F73"/>
    <mergeCell ref="E74:F74"/>
    <mergeCell ref="E76:F76"/>
    <mergeCell ref="E77:F77"/>
    <mergeCell ref="G83:H83"/>
    <mergeCell ref="G84:H84"/>
    <mergeCell ref="C72:D72"/>
    <mergeCell ref="C73:D73"/>
    <mergeCell ref="C79:D79"/>
    <mergeCell ref="C80:D80"/>
    <mergeCell ref="E80:F80"/>
    <mergeCell ref="B17:D17"/>
    <mergeCell ref="E17:F17"/>
    <mergeCell ref="E67:F67"/>
    <mergeCell ref="C75:D75"/>
    <mergeCell ref="E75:F75"/>
    <mergeCell ref="E31:F31"/>
    <mergeCell ref="B28:B43"/>
    <mergeCell ref="C43:D43"/>
    <mergeCell ref="E43:F43"/>
    <mergeCell ref="C45:D45"/>
    <mergeCell ref="E45:F45"/>
    <mergeCell ref="C49:D49"/>
    <mergeCell ref="E49:F49"/>
    <mergeCell ref="C57:D57"/>
    <mergeCell ref="E25:F25"/>
    <mergeCell ref="C40:D40"/>
    <mergeCell ref="C37:D37"/>
    <mergeCell ref="C29:D29"/>
    <mergeCell ref="E29:F29"/>
    <mergeCell ref="E33:F33"/>
    <mergeCell ref="C33:D33"/>
    <mergeCell ref="E35:F35"/>
    <mergeCell ref="C35:D35"/>
    <mergeCell ref="E39:F39"/>
    <mergeCell ref="E37:F37"/>
    <mergeCell ref="E36:F36"/>
    <mergeCell ref="C31:D31"/>
    <mergeCell ref="E34:F34"/>
    <mergeCell ref="C30:D30"/>
    <mergeCell ref="C32:D32"/>
    <mergeCell ref="C34:D34"/>
    <mergeCell ref="C36:D36"/>
    <mergeCell ref="C38:D38"/>
    <mergeCell ref="C39:D39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G11" sqref="G11"/>
    </sheetView>
  </sheetViews>
  <sheetFormatPr defaultRowHeight="14.4" x14ac:dyDescent="0.3"/>
  <cols>
    <col min="2" max="11" width="10" customWidth="1"/>
  </cols>
  <sheetData>
    <row r="1" spans="1:11" ht="16.8" x14ac:dyDescent="0.3">
      <c r="A1" s="79" t="s">
        <v>46</v>
      </c>
      <c r="B1" s="80"/>
      <c r="C1" s="80"/>
      <c r="D1" s="80"/>
      <c r="E1" s="80"/>
      <c r="F1" s="80"/>
      <c r="G1" s="80"/>
      <c r="H1" s="80"/>
      <c r="I1" s="80"/>
      <c r="J1" s="80"/>
      <c r="K1" s="81"/>
    </row>
    <row r="2" spans="1:11" ht="16.8" x14ac:dyDescent="0.3">
      <c r="A2" s="82"/>
      <c r="B2" s="83" t="s">
        <v>67</v>
      </c>
      <c r="C2" s="83"/>
      <c r="D2" s="83" t="s">
        <v>65</v>
      </c>
      <c r="E2" s="83"/>
      <c r="F2" s="83" t="s">
        <v>56</v>
      </c>
      <c r="G2" s="83"/>
      <c r="H2" s="83" t="s">
        <v>61</v>
      </c>
      <c r="I2" s="83"/>
    </row>
    <row r="3" spans="1:11" ht="16.8" x14ac:dyDescent="0.3">
      <c r="A3" s="82"/>
      <c r="B3" s="25" t="s">
        <v>10</v>
      </c>
      <c r="C3" s="25" t="s">
        <v>44</v>
      </c>
      <c r="D3" s="25" t="s">
        <v>10</v>
      </c>
      <c r="E3" s="25" t="s">
        <v>44</v>
      </c>
      <c r="F3" s="25" t="s">
        <v>10</v>
      </c>
      <c r="G3" s="25" t="s">
        <v>44</v>
      </c>
      <c r="H3" s="25" t="s">
        <v>10</v>
      </c>
      <c r="I3" s="26" t="s">
        <v>44</v>
      </c>
    </row>
    <row r="4" spans="1:11" ht="16.8" x14ac:dyDescent="0.3">
      <c r="A4" s="29" t="s">
        <v>4</v>
      </c>
      <c r="B4" s="27">
        <f ca="1">'Sprint 1'!D8</f>
        <v>49.5</v>
      </c>
      <c r="C4" s="27">
        <f ca="1">'Sprint 1'!$E$8</f>
        <v>48</v>
      </c>
      <c r="D4" s="27">
        <f ca="1">'Sprint 1'!$D$9</f>
        <v>35.5</v>
      </c>
      <c r="E4" s="27">
        <f ca="1">'Sprint 1'!$E$9</f>
        <v>37</v>
      </c>
      <c r="F4" s="27">
        <f ca="1">'Sprint 1'!D11</f>
        <v>33.5</v>
      </c>
      <c r="G4" s="27">
        <f ca="1">'Sprint 1'!E11</f>
        <v>34</v>
      </c>
      <c r="H4" s="27">
        <f ca="1">'Sprint 1'!$D$10</f>
        <v>31.5</v>
      </c>
      <c r="I4" s="27">
        <f ca="1">'Sprint 1'!$E$10</f>
        <v>30</v>
      </c>
    </row>
    <row r="5" spans="1:11" ht="16.8" x14ac:dyDescent="0.3">
      <c r="A5" s="29" t="s">
        <v>33</v>
      </c>
      <c r="B5" s="27">
        <f ca="1">'Sprint 2'!$D$8</f>
        <v>27.25</v>
      </c>
      <c r="C5" s="27">
        <f ca="1">'Sprint 2'!$E$8</f>
        <v>39.5</v>
      </c>
      <c r="D5" s="27">
        <f ca="1">'Sprint 2'!$D$9</f>
        <v>25.25</v>
      </c>
      <c r="E5" s="27">
        <f ca="1">'Sprint 2'!$E$9</f>
        <v>31.5</v>
      </c>
      <c r="F5" s="27">
        <f ca="1">'Sprint 2'!D11</f>
        <v>29.75</v>
      </c>
      <c r="G5" s="27">
        <f ca="1">'Sprint 2'!E11</f>
        <v>33</v>
      </c>
      <c r="H5" s="27">
        <f ca="1">'Sprint 2'!$D$10</f>
        <v>19.25</v>
      </c>
      <c r="I5" s="27">
        <f ca="1">'Sprint 2'!$E$10</f>
        <v>21.5</v>
      </c>
    </row>
    <row r="6" spans="1:11" ht="17.399999999999999" thickBot="1" x14ac:dyDescent="0.35">
      <c r="A6" s="30" t="s">
        <v>11</v>
      </c>
      <c r="B6" s="28">
        <f t="shared" ref="B6:I6" ca="1" si="0">SUM(B4:B5)</f>
        <v>76.75</v>
      </c>
      <c r="C6" s="28">
        <f t="shared" ca="1" si="0"/>
        <v>87.5</v>
      </c>
      <c r="D6" s="28">
        <f t="shared" ca="1" si="0"/>
        <v>60.75</v>
      </c>
      <c r="E6" s="28">
        <f t="shared" ca="1" si="0"/>
        <v>68.5</v>
      </c>
      <c r="F6" s="28">
        <f t="shared" ca="1" si="0"/>
        <v>63.25</v>
      </c>
      <c r="G6" s="28">
        <f t="shared" ca="1" si="0"/>
        <v>67</v>
      </c>
      <c r="H6" s="28">
        <f t="shared" ca="1" si="0"/>
        <v>50.75</v>
      </c>
      <c r="I6" s="28">
        <f t="shared" ca="1" si="0"/>
        <v>51.5</v>
      </c>
    </row>
    <row r="8" spans="1:11" ht="15" thickBot="1" x14ac:dyDescent="0.35"/>
    <row r="9" spans="1:11" ht="16.8" x14ac:dyDescent="0.3">
      <c r="E9" s="77" t="s">
        <v>47</v>
      </c>
      <c r="F9" s="78"/>
    </row>
    <row r="10" spans="1:11" ht="16.8" x14ac:dyDescent="0.3">
      <c r="E10" s="31" t="s">
        <v>10</v>
      </c>
      <c r="F10" s="32">
        <f ca="1">SUMIF($B$3:$I$3,"Thực tế",$B$6:$I$6)</f>
        <v>251.5</v>
      </c>
    </row>
    <row r="11" spans="1:11" ht="17.399999999999999" thickBot="1" x14ac:dyDescent="0.35">
      <c r="E11" s="33" t="s">
        <v>44</v>
      </c>
      <c r="F11" s="34">
        <f ca="1">SUMIF($B$3:$I$3,"Ước tính",$B$6:$I$6)</f>
        <v>274.5</v>
      </c>
    </row>
  </sheetData>
  <mergeCells count="7">
    <mergeCell ref="E9:F9"/>
    <mergeCell ref="A1:K1"/>
    <mergeCell ref="A2:A3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ASUS</cp:lastModifiedBy>
  <dcterms:created xsi:type="dcterms:W3CDTF">2021-04-23T08:05:10Z</dcterms:created>
  <dcterms:modified xsi:type="dcterms:W3CDTF">2025-12-15T14:18:57Z</dcterms:modified>
</cp:coreProperties>
</file>