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d\DoAnTN_fix\DoAnTN\"/>
    </mc:Choice>
  </mc:AlternateContent>
  <bookViews>
    <workbookView xWindow="0" yWindow="0" windowWidth="23040" windowHeight="9072" firstSheet="2" activeTab="7"/>
  </bookViews>
  <sheets>
    <sheet name="Trường hợp kiểm thử" sheetId="1" r:id="rId1"/>
    <sheet name="Đăng nhập" sheetId="2" r:id="rId2"/>
    <sheet name="Đăng kí" sheetId="3" r:id="rId3"/>
    <sheet name="Quản lí hồ sơ cá nhân" sheetId="4" r:id="rId4"/>
    <sheet name="Điểm danh" sheetId="9" r:id="rId5"/>
    <sheet name="Quản lí lớp học " sheetId="6" r:id="rId6"/>
    <sheet name="Quản lý sinh viên" sheetId="7" r:id="rId7"/>
    <sheet name="Quản lí bài tập và kết quả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8" l="1"/>
  <c r="D4" i="8"/>
  <c r="C4" i="8"/>
  <c r="B4" i="8"/>
  <c r="F4" i="8" s="1"/>
  <c r="E4" i="7"/>
  <c r="D4" i="7"/>
  <c r="C4" i="7"/>
  <c r="B4" i="7"/>
  <c r="F4" i="7" s="1"/>
  <c r="E4" i="6"/>
  <c r="D4" i="6"/>
  <c r="C4" i="6"/>
  <c r="B4" i="6"/>
  <c r="F4" i="6" s="1"/>
  <c r="E4" i="9"/>
  <c r="D4" i="9"/>
  <c r="C4" i="9"/>
  <c r="B4" i="9"/>
  <c r="F4" i="9" s="1"/>
  <c r="E4" i="3"/>
  <c r="D4" i="3"/>
  <c r="C4" i="3"/>
  <c r="B4" i="3"/>
  <c r="F4" i="3" s="1"/>
  <c r="C5" i="1" l="1"/>
  <c r="C6" i="1"/>
  <c r="C11" i="1"/>
  <c r="C12" i="1" s="1"/>
  <c r="E4" i="4"/>
  <c r="D4" i="4"/>
  <c r="C4" i="4"/>
  <c r="B4" i="4"/>
  <c r="F4" i="4" s="1"/>
  <c r="C7" i="1" s="1"/>
  <c r="C9" i="1"/>
  <c r="C10" i="1" l="1"/>
  <c r="F4" i="2"/>
  <c r="C4" i="2"/>
  <c r="D4" i="2"/>
  <c r="B4" i="2"/>
  <c r="C8" i="1"/>
  <c r="E4" i="2" l="1"/>
</calcChain>
</file>

<file path=xl/sharedStrings.xml><?xml version="1.0" encoding="utf-8"?>
<sst xmlns="http://schemas.openxmlformats.org/spreadsheetml/2006/main" count="1064" uniqueCount="380">
  <si>
    <t>TEST CASE SYSTEM SPRINT 1</t>
  </si>
  <si>
    <t>Tên dự án</t>
  </si>
  <si>
    <t>STT</t>
  </si>
  <si>
    <t>Chức năng</t>
  </si>
  <si>
    <t>Số lượng test</t>
  </si>
  <si>
    <t>Mô tả</t>
  </si>
  <si>
    <t xml:space="preserve">Đăng nhập </t>
  </si>
  <si>
    <t>Đăng nhập</t>
  </si>
  <si>
    <t>Đăng kí</t>
  </si>
  <si>
    <t>Quản lý hồ sơ cá nhân</t>
  </si>
  <si>
    <t>Quản lí điểm danh</t>
  </si>
  <si>
    <t>Quản lý sinh viên</t>
  </si>
  <si>
    <t>Quản lí bài tập và kết quả</t>
  </si>
  <si>
    <t>Project Name</t>
  </si>
  <si>
    <t>Module Code</t>
  </si>
  <si>
    <t>Hoàn thành</t>
  </si>
  <si>
    <t>Lỗi</t>
  </si>
  <si>
    <t>Chưa kiểm tra</t>
  </si>
  <si>
    <t>Bị chăn</t>
  </si>
  <si>
    <t>Tổng số trường hợp thử nghiệm</t>
  </si>
  <si>
    <t>Round 1</t>
  </si>
  <si>
    <t>Test Case ID</t>
  </si>
  <si>
    <t>Hành động</t>
  </si>
  <si>
    <t>Điều kiện tiên quyết</t>
  </si>
  <si>
    <t>Kết quả mong đợi</t>
  </si>
  <si>
    <t>Kết quả thực tế</t>
  </si>
  <si>
    <t>Kết quả</t>
  </si>
  <si>
    <t>Chú thích</t>
  </si>
  <si>
    <t>Vòng 1</t>
  </si>
  <si>
    <t>Trạng thái</t>
  </si>
  <si>
    <t>Ngày kiểm tra</t>
  </si>
  <si>
    <t>Người kiểm tra</t>
  </si>
  <si>
    <t>GUI_SHOW Trang đăng nhập</t>
  </si>
  <si>
    <t>GUI-DN01</t>
  </si>
  <si>
    <t>Passed</t>
  </si>
  <si>
    <t>GUI-DN02</t>
  </si>
  <si>
    <t>GUI-DN03</t>
  </si>
  <si>
    <t>GUI-DN05</t>
  </si>
  <si>
    <t>GUI-DN06</t>
  </si>
  <si>
    <t>FUNCTION_SHOW Trang đăng nhập</t>
  </si>
  <si>
    <t>FUNC-DN01</t>
  </si>
  <si>
    <t>Truy cập vào hệ thống</t>
  </si>
  <si>
    <t>FUNC-DN02</t>
  </si>
  <si>
    <t>FUNC-DN03</t>
  </si>
  <si>
    <t>FUNC-DN04</t>
  </si>
  <si>
    <t>FUNC-DN05</t>
  </si>
  <si>
    <t>FUNC-DN06</t>
  </si>
  <si>
    <t>Đi đến trang tổng quan</t>
  </si>
  <si>
    <t>Đăng nhập SV thất bại khi điền sai Email hoặc Mật khẩu</t>
  </si>
  <si>
    <t>Hệ thống thông báo lỗi : "Thông tin đăng nhập không chính xác."</t>
  </si>
  <si>
    <t>Đăng nhập SV, để trống trường "Mật khẩu".</t>
  </si>
  <si>
    <t xml:space="preserve">1 .Nhập email
2. Không nhập dữ liệu trường "Mật khẩu".
3. Click "Đăng nhập".
</t>
  </si>
  <si>
    <t>Thông báo lỗi ở textBox Email : "Please fill in this field"</t>
  </si>
  <si>
    <t xml:space="preserve">Đăng nhập SV, để trống trường "Email" </t>
  </si>
  <si>
    <t xml:space="preserve">1. Để trông trường Email
</t>
  </si>
  <si>
    <t>Thông báo lỗi ở textBox Password : "Please fill in this field"</t>
  </si>
  <si>
    <t>Đăng nhập SV, để trống tất cả các trường dữ liêu</t>
  </si>
  <si>
    <t xml:space="preserve">1 .Không nhập email
2. Không nhập dữ liệu trường "Mật khẩu".
3. Click "Đăng nhập".
</t>
  </si>
  <si>
    <t>FUNC-DN07</t>
  </si>
  <si>
    <t>FUNC-DN08</t>
  </si>
  <si>
    <t>Đăng nhập GV, để trống trường "Mật khẩu".</t>
  </si>
  <si>
    <t>Đăng nhập GV, để trống tất cả các trường dữ liêu</t>
  </si>
  <si>
    <t>Viên</t>
  </si>
  <si>
    <t>Kiểm tra logo</t>
  </si>
  <si>
    <t>Logo AgoraLearn hiển thị ở trung tâm phía trên</t>
  </si>
  <si>
    <t>Kiểm tra tiêu đề</t>
  </si>
  <si>
    <t>Text “Đăng nhập AgoraLearn” hiển thị, rõ ràng, chính xác</t>
  </si>
  <si>
    <t>Kiểm tra mô tả</t>
  </si>
  <si>
    <t>Text “Hệ thống quản lý học tập thông minh” hiển thị bên dưới tiêu đề</t>
  </si>
  <si>
    <t>Đăng nhập thành công vào trang SV</t>
  </si>
  <si>
    <t>1.Mở trang, nhập email, mật khẩu, chọn Button “Sinh viên”                             2.Nhấn Đăng nhập</t>
  </si>
  <si>
    <t>FUNC-DN10</t>
  </si>
  <si>
    <t xml:space="preserve">1.Mở trang, nhập sai email, mật khẩu, chọn Button “Sinh viên”.                     2.Nhấn "Đăng nhập".
</t>
  </si>
  <si>
    <t>Đăng nhập thành công vào trang GV</t>
  </si>
  <si>
    <t>Đăng nhập GV, thất bại khi điền sai Email hoặc Mật khẩu</t>
  </si>
  <si>
    <t>FUNC-DN09'</t>
  </si>
  <si>
    <t xml:space="preserve">1.Mở trang, nhập sai email, mật khẩu, chọn Button “Giảng viên”.                     2.Nhấn "Đăng nhập".
</t>
  </si>
  <si>
    <t>1.Mở trang, nhập email, mật khẩu, chọn Button “Giảng viên”                             2.Nhấn Đăng nhập</t>
  </si>
  <si>
    <t>Kiểm tra tab Sinh viên / Giảng viên</t>
  </si>
  <si>
    <t>Hai tab hiển thị, tab Sinh viên được chọn mặc định, tab Giảng viên chưa chọn</t>
  </si>
  <si>
    <t>Kiểm tra ô Email</t>
  </si>
  <si>
    <t>Có placeholder “Email”, ô nhập dữ liệu hoạt động, nhập text hiển thị bình thường</t>
  </si>
  <si>
    <t>Kiểm tra ô Mật khẩu</t>
  </si>
  <si>
    <t xml:space="preserve">Có placeholder “Mật khẩu”, nhập mật khẩu hiển thị dấu * </t>
  </si>
  <si>
    <t>Có placeholder “Mật khẩu”, nhập mật khẩu hiển thị dấu *</t>
  </si>
  <si>
    <t>GUI-DN07</t>
  </si>
  <si>
    <t>Kiểm tra nút đăng nhập</t>
  </si>
  <si>
    <t>Nút màu cam, chữ “Đăng nhập” hiển thị rõ, có thể click được</t>
  </si>
  <si>
    <t>GUI-DN08</t>
  </si>
  <si>
    <t>Kiểm tra responsive</t>
  </si>
  <si>
    <t>Thay đổi kích thước màn hình</t>
  </si>
  <si>
    <t>Form vẫn nằm giữa màn hình, không bị tràn nội dung</t>
  </si>
  <si>
    <t>Kiểm tra hiển thị lỗi</t>
  </si>
  <si>
    <t>Nhập sai Email hoặc mật khẩu, nhấn đăng nhập</t>
  </si>
  <si>
    <t>Thông báo lỗi hiển thị, dễ đọc</t>
  </si>
  <si>
    <t>Nhập sai mật khẩu xác nhận</t>
  </si>
  <si>
    <t xml:space="preserve">1 .Nhập email
2. Không nhập dữ liệu trường " Xác nhận mật khẩu".
3. Click "Đăng nhập".
</t>
  </si>
  <si>
    <t>Thông báo lỗi ở textBox Xác nhận mật khẩu: "Please fill in this field"</t>
  </si>
  <si>
    <t xml:space="preserve">1 .Không nhập dữ liệu nào
2. Click "Đăng nhập".
</t>
  </si>
  <si>
    <t>Kiểm tra ô Xác nhận mật khẩu</t>
  </si>
  <si>
    <t>Có placeholder “ Nhập lại mật khẩu”, nhập mật khẩu hiển thị dấu *</t>
  </si>
  <si>
    <t xml:space="preserve">Có placeholder “Nhập lại mật khẩu”, nhập mật khẩu hiển thị dấu * </t>
  </si>
  <si>
    <t xml:space="preserve">Để trống trường "Email" </t>
  </si>
  <si>
    <t>Để trống trường "Mật khẩu".</t>
  </si>
  <si>
    <t>Để trống trường "Xác nhận mật khẩu".</t>
  </si>
  <si>
    <t>Để trống tất cả các trường dữ liêu</t>
  </si>
  <si>
    <t>Text “đăng kí AgoraLearn” hiển thị, rõ ràng, chính xác</t>
  </si>
  <si>
    <t xml:space="preserve">Kiểm tra nút đăng kí </t>
  </si>
  <si>
    <t xml:space="preserve">FUNCTION_SHOW Trang đăng kí </t>
  </si>
  <si>
    <t xml:space="preserve">Đăng kí thành công </t>
  </si>
  <si>
    <t xml:space="preserve">
</t>
  </si>
  <si>
    <t>Đi đến trang đăng nhập</t>
  </si>
  <si>
    <t>Đăng kí thất bại khi điền sai Mật khẩu mật khẩu xác nhận</t>
  </si>
  <si>
    <t>Hệ thống thông báo lỗi : "Mật khẩu mật khẩu xác nhận không chính xác"</t>
  </si>
  <si>
    <t>GUI_SHOW Trang quản lí hồ sơ cá nhân</t>
  </si>
  <si>
    <t>Kiểm tra nút cập nhật</t>
  </si>
  <si>
    <t>Truy cập vào page hồ sơ cá  nhân</t>
  </si>
  <si>
    <t>Nút màu cam, chữ “Cập nhật” hiển thị rõ, có thể click được</t>
  </si>
  <si>
    <t>Kiểm tra ô Họ tên</t>
  </si>
  <si>
    <t>Hiển thị thông tin rõ ràng, dễ nhìn</t>
  </si>
  <si>
    <t>FUNCTION_SHOW Trang quản lí hồ sơ cá nhân</t>
  </si>
  <si>
    <t>Vào thành công trang quản lí hồ sơ cá nhân</t>
  </si>
  <si>
    <t>họ tên, email, số điện thoại, địa chỉ, ảnh đại diện,</t>
  </si>
  <si>
    <t>Kiểm tra ô Số điện thoại</t>
  </si>
  <si>
    <t>Kiểm tra ô Địa chỉ</t>
  </si>
  <si>
    <t>Kiểm tra Hình đại diện</t>
  </si>
  <si>
    <t>Hiển thị, căn chỉnh không lệch</t>
  </si>
  <si>
    <t>GUI-DN04</t>
  </si>
  <si>
    <t>GUI-DN09</t>
  </si>
  <si>
    <t>1.Nhấn hình đại diện để vào trang Quản lí hồ sơ cá nhân</t>
  </si>
  <si>
    <t>Đi đến trang trang Quản lí hồ sơ cá nhân, hiển thị đầy đủ thông tin hồ sơ</t>
  </si>
  <si>
    <t>Vào thành công menu cập nhật hồ sơ cá nhân</t>
  </si>
  <si>
    <t>1.Nhấn hình đại diện để vào trang Quản lí hồ sơ cá nhân
2.Nhấn nút cập nhật</t>
  </si>
  <si>
    <t>Hiển thị menu các thông tin để cập nhật</t>
  </si>
  <si>
    <t>Cập nhật thông tin, để trống Họ tên</t>
  </si>
  <si>
    <t>1.Xóa nội dung họ tên
2.Click Lưu</t>
  </si>
  <si>
    <t>Hiển thị thông báo lỗi “Họ tên không được để trống”</t>
  </si>
  <si>
    <t>Cập nhật thông tin, email sai định dạng</t>
  </si>
  <si>
    <t>Hiển thị lỗi “Email không hợp lệ”</t>
  </si>
  <si>
    <t>Cập nhật thông tin, email rỗng</t>
  </si>
  <si>
    <t>Thông báo lỗi “Email không được để trống”</t>
  </si>
  <si>
    <t>1. nhập email "abc@"
2.Click Lưu</t>
  </si>
  <si>
    <t xml:space="preserve">1 .Xóa nội dung email
2. Click "Lưu".
</t>
  </si>
  <si>
    <t>Cập nhật thông tin, số điện thoại sai định dạng</t>
  </si>
  <si>
    <t>Hiển thị lỗi “Số điện thoại không hợp lệ”</t>
  </si>
  <si>
    <t>Cập nhật thông tin, số điện thoại thiếu số</t>
  </si>
  <si>
    <t>Cập nhật thông tin, số điện thoại rỗng</t>
  </si>
  <si>
    <t xml:space="preserve">1 .Nhập số điện thoại "0123"
2. Click "Lưu".
</t>
  </si>
  <si>
    <t xml:space="preserve">1 .Nhập số điện thoại sai dịnh dạng "123acb"
2. Click "Lưu".
</t>
  </si>
  <si>
    <t xml:space="preserve">1 .Xóa nội dung số điện thoại
2. Click "Lưu".
</t>
  </si>
  <si>
    <t>Hiển thị lỗi “Số điện thoại không hợp lệ, vui lòng nhập đủ 10 số”</t>
  </si>
  <si>
    <t>Cập nhật thông tin,địa chỉ rỗng</t>
  </si>
  <si>
    <t xml:space="preserve">1 .Xóa nội dung địa chỉ
2. Click "Lưu".
</t>
  </si>
  <si>
    <t>Thông báo lỗi “Số điện thoại không được để trống”</t>
  </si>
  <si>
    <t>Thông báo lỗi “Địa chỉ không được để trống”</t>
  </si>
  <si>
    <t>Upload ảnh sai định dạng</t>
  </si>
  <si>
    <t xml:space="preserve">1.Nhấn up load ảnh
2. Chọn file có định dạng .pdf, .docx, .exe
3.Click Lưu
</t>
  </si>
  <si>
    <t>1.Hiển thị thông báo lỗi “Định dạng ảnh không hợp lệ”
2.Không cho lưu thông tin
3.Ảnh đại diện không thay đổi</t>
  </si>
  <si>
    <t>Lưu &amp; hủy, lưu thông tin hợp lệ</t>
  </si>
  <si>
    <t xml:space="preserve">1.Nhập dữ liệu hợp lệ
2.Click Lưu
</t>
  </si>
  <si>
    <t>1.Modal đóng
2.Hiển thị thông báo cập nhật thành công
3.Trang hồ sơ hiển thị thông tin mới</t>
  </si>
  <si>
    <t>Lưu &amp; hủy, hủy lưu thông tin</t>
  </si>
  <si>
    <t xml:space="preserve">1.Click nút hủy
</t>
  </si>
  <si>
    <t>1.Modal đóng
2.Trang hồ sơ cá nhân không có gì thay đổi</t>
  </si>
  <si>
    <t>GUI-HSCN01</t>
  </si>
  <si>
    <t>GUI-HSCN02</t>
  </si>
  <si>
    <t>GUI-HSCN03</t>
  </si>
  <si>
    <t>GUI-HSCN04</t>
  </si>
  <si>
    <t>GUI-HSCN05</t>
  </si>
  <si>
    <t>FUNC-HSCN01</t>
  </si>
  <si>
    <t>FUNC-HSCN02</t>
  </si>
  <si>
    <t>FUNC-HSCN03</t>
  </si>
  <si>
    <t>FUNC-HSCN04</t>
  </si>
  <si>
    <t>FUNC-HSCN05</t>
  </si>
  <si>
    <t>FUNC-HSCN06</t>
  </si>
  <si>
    <t>FUNC-HSCN07</t>
  </si>
  <si>
    <t>FUNC-HSCN08</t>
  </si>
  <si>
    <t>FUNC-HSCN09</t>
  </si>
  <si>
    <t>FUNC-HSCN10</t>
  </si>
  <si>
    <t>FUNC-HSCN11</t>
  </si>
  <si>
    <t>FUNC-HSCN12</t>
  </si>
  <si>
    <t>Quản lí hồ sơ cá nhân người dùng(Sinh viên,Giảng Viên)</t>
  </si>
  <si>
    <t>GUI-DK01</t>
  </si>
  <si>
    <t>GUI-DK02</t>
  </si>
  <si>
    <t>GUI-DK03</t>
  </si>
  <si>
    <t>GUI-DK04</t>
  </si>
  <si>
    <t>GUI-DK05</t>
  </si>
  <si>
    <t>GUI-DK06</t>
  </si>
  <si>
    <t>GUI-DK07</t>
  </si>
  <si>
    <t>GUI-DK08</t>
  </si>
  <si>
    <t>GUI-DK09</t>
  </si>
  <si>
    <t>FUNC-DK01</t>
  </si>
  <si>
    <t>FUNC-DK02</t>
  </si>
  <si>
    <t>FUNC-DK03</t>
  </si>
  <si>
    <t>FUNC-DK04</t>
  </si>
  <si>
    <t>FUNC-DK05</t>
  </si>
  <si>
    <t>FUNC-DK06</t>
  </si>
  <si>
    <t>GUI_SHOW Trang quản lí lớp học</t>
  </si>
  <si>
    <t>Trạng thái nút</t>
  </si>
  <si>
    <t>Nút màu cam, nút Chi tiết / Điểm danh, có thể click được</t>
  </si>
  <si>
    <t>1.Giao diện không vỡ khi thu nhỏ màn hình                                     2.Card lớp hiển thị đúng hàng/cột</t>
  </si>
  <si>
    <t>FUNCTION_SHOW Trang quản lí lớp học</t>
  </si>
  <si>
    <t>1.GV truy cập vào hệ thống               2.Nhấn "Quản lý lớp học" ở Nabar bên trái</t>
  </si>
  <si>
    <t>1.Hiển thị tiêu đề “Quản lý Lớp học”
2.Hiển thị danh sách các lớp dưới dạng thẻ (card)
3.Sidebar hiển thị đúng menu “Quản lý lớp học”</t>
  </si>
  <si>
    <t>Mỗi card hiển thị đầy đủ thông tin của lớp học</t>
  </si>
  <si>
    <t>(Hiển thị giao diện tổng thể) Vào thành công trang quản lí lớp học</t>
  </si>
  <si>
    <t>(Hiển thị giao diện tổng thể) Hiển thị thông tin lớp học trên card</t>
  </si>
  <si>
    <t>(Tìm kiếm &amp; lọc) Tìm kiếm lớp theo tên</t>
  </si>
  <si>
    <t>1.Nhập “Lập trình Web” vào ô tìm kiếm</t>
  </si>
  <si>
    <t>Hiển thị các lớp có tên phù hợp, ẩn các lớp không liên quan</t>
  </si>
  <si>
    <t>(Tìm kiếm &amp; lọc) Tìm kiếm lớp không tồn tại</t>
  </si>
  <si>
    <t>1.Nhập “Xyz” vào ô tìm kiếm</t>
  </si>
  <si>
    <t>Danh lớp sách rỗng</t>
  </si>
  <si>
    <t>(Chi tiết lớp học) Click nút Chi tiết</t>
  </si>
  <si>
    <t>1.Click Chi tiết trên 1 card lớp</t>
  </si>
  <si>
    <t>1.Chuyển sang trang chi tiết lớp
2.Hiển thị đầy đủ thông tin lớp &amp; sinh viên</t>
  </si>
  <si>
    <t>(Chi tiết lớp học) Quyền truy cập trang chi tiết</t>
  </si>
  <si>
    <t>1.Click Chi tiết trên 1 card lớp không thuộc lớp mình giảng dạy</t>
  </si>
  <si>
    <t xml:space="preserve">1.Click nút Điểm danh trên card lớp
</t>
  </si>
  <si>
    <t>1.Chuyển sang giao diện điểm danh lớp
2.Hiển thị danh sách sinh viên</t>
  </si>
  <si>
    <t xml:space="preserve">(Điểm danh) Lớp chưa điểm danh </t>
  </si>
  <si>
    <t>1.Trạng thái sinh viên mặc định là “Chưa điểm danh”</t>
  </si>
  <si>
    <t xml:space="preserve">(Điểm danh) Lớp đã điểm danh </t>
  </si>
  <si>
    <t>1.Hiển thị trạng thái điểm danh cũ
2.Có nút Điểm danh lại / Chỉnh sửa</t>
  </si>
  <si>
    <t>(Tạo lớp) Tạo lớp mới</t>
  </si>
  <si>
    <t xml:space="preserve">1.Click nút Tạo lớp mới
</t>
  </si>
  <si>
    <t>1.Mở form / modal tạo lớp mới</t>
  </si>
  <si>
    <t xml:space="preserve">(Điểm danh) Vào trang điểm danh </t>
  </si>
  <si>
    <t>(Điểm danh) Điểm danh tự động</t>
  </si>
  <si>
    <t>1.Click nút Điểm danh trên card lớp
2.Nhấn điểm danh tự đông</t>
  </si>
  <si>
    <t>1.Điểm danh thành công cách sinh viên có mặt</t>
  </si>
  <si>
    <t>GUI-QLLH01</t>
  </si>
  <si>
    <t>GUI-QLLH02</t>
  </si>
  <si>
    <t>FUNC-QLLH01</t>
  </si>
  <si>
    <t>FUNC-QLLH02</t>
  </si>
  <si>
    <t>FUNC-QLLH03</t>
  </si>
  <si>
    <t>FUNC-QLLH04</t>
  </si>
  <si>
    <t>FUNC-QLLH05</t>
  </si>
  <si>
    <t>FUNC-QLLH06</t>
  </si>
  <si>
    <t>FUNC-QLLH07</t>
  </si>
  <si>
    <t>FUNC-QLLH08</t>
  </si>
  <si>
    <t>FUNC-QLLH09</t>
  </si>
  <si>
    <t>FUNC-QLLH10</t>
  </si>
  <si>
    <t>FUNC-QLLH11</t>
  </si>
  <si>
    <t>GUI_SHOW Trang quản lí sinh viên</t>
  </si>
  <si>
    <t>FUNCTION_SHOW Trang quản lí sinh viên</t>
  </si>
  <si>
    <t>(Hiển thị giao diện tổng thể) Vào thành công trang quản lí sinh viên</t>
  </si>
  <si>
    <t>Kiểm tra Responsive bảng sinh viên</t>
  </si>
  <si>
    <t>Phóng to, thu nhỏ trang</t>
  </si>
  <si>
    <t>Truy cập vào page quản lí sinh viên</t>
  </si>
  <si>
    <t>1.Nhập “Nguyễn Văn A” vào ô tìm kiếm</t>
  </si>
  <si>
    <t>Hiển thị các lớp có tên phù hợp, ẩn các sinh viên không liên quan</t>
  </si>
  <si>
    <t>(Tìm kiếm) Tìm kiếm sinh viên theo tên</t>
  </si>
  <si>
    <t>(Tìm kiếm) Tìm kiếm sinh viên theo MSSV</t>
  </si>
  <si>
    <t>1.Nhập “2025001” vào ô tìm kiếm</t>
  </si>
  <si>
    <t>Hiển thị đúng sinh viên có MSSV tương ứng</t>
  </si>
  <si>
    <t>(Tìm kiếm) Tìm kiếm không có kết quả</t>
  </si>
  <si>
    <t>1.Nhập “xyzz” vào ô tìm kiếm</t>
  </si>
  <si>
    <t>Danh sách sinh viên rỗng</t>
  </si>
  <si>
    <t>30/11/2026</t>
  </si>
  <si>
    <t>1.Chọn lớp CNTT-K15-01</t>
  </si>
  <si>
    <t>Chỉ hiển thị sinh viên thuộc lớp đã chọn</t>
  </si>
  <si>
    <t>(Lọc) Lọc theo trạng thái</t>
  </si>
  <si>
    <t>(Lọc)Lọc theo lớp hành chính</t>
  </si>
  <si>
    <t>1.Dữ liệu lọc "Cảnh báo"</t>
  </si>
  <si>
    <t>1.Chỉ hiển thị sinh viên có trạng thái “Cảnh báo”</t>
  </si>
  <si>
    <t>(GPA &amp; Trạng thái) Trạng thái sinh viên theo GPA</t>
  </si>
  <si>
    <t>GPA &lt; 3.0 → Cảnh báo
GPA 3.0 – 3.5 → Đang học
GPA ≥ 3.6 → Xuất sắc</t>
  </si>
  <si>
    <t>Xem chi tiết sinh viên</t>
  </si>
  <si>
    <t>1.Chọn “Xem chi tiết”</t>
  </si>
  <si>
    <t>1.Chuyển sang trang chi tiết sinh viên
2.Hiển thị đúng thông tin cá nhân &amp; học tập</t>
  </si>
  <si>
    <t>(Gửi thông báo) Gửi thông báo thành công</t>
  </si>
  <si>
    <t>1.Click Gửi thông báo
2.Nhập nội dung
3.Click Gửi</t>
  </si>
  <si>
    <t xml:space="preserve">1.Thông báo gửi thành công
</t>
  </si>
  <si>
    <t>(Xuất Excel) Click nút Xuất Excel</t>
  </si>
  <si>
    <t xml:space="preserve">1.Click nút Xuất Excel
</t>
  </si>
  <si>
    <t>1.File Excel được tải về
2.Dữ liệu đúng với danh sách đang hiển thị</t>
  </si>
  <si>
    <t>FUNC-QLLH12</t>
  </si>
  <si>
    <t>Không hiển thị chi tiết sinh viên, hiển thị thông báo không có quyền</t>
  </si>
  <si>
    <t>Quản lí bài tập &amp; kết quả(Giảng Viên)</t>
  </si>
  <si>
    <t>GUI_SHOW Trang Quản lí bài tập &amp; kết quả</t>
  </si>
  <si>
    <t>FUNCTION_SHOW Trang Quản lí bài tập &amp; kết quả</t>
  </si>
  <si>
    <t>Scroll danh sách sinh viên</t>
  </si>
  <si>
    <t>1. Scroll mượt,Không lệch layout</t>
  </si>
  <si>
    <t>Truy cập vào page chấm điểm</t>
  </si>
  <si>
    <t>1.Bảng không vỡ layout khi thu nhỏ màn hình                                 2.Hiển thị đúng hàng/cột</t>
  </si>
  <si>
    <t>1.Hiển thị tiêu đề “Quản lý sinh viên”
2.Hiển thị bảng danh sách sinh viên                                  3.Dòng tiêu đề hiển thị đúng: Danh sách sinh viên (6)
4.Số lượng sinh viên trong bảng khớp với số hiển thị</t>
  </si>
  <si>
    <t>Nút màu cam,có thể click được</t>
  </si>
  <si>
    <t>(Hiển thị giao diện tổng thể) Load trang chấm điểm</t>
  </si>
  <si>
    <t>1.Hiển thị tiêu đề “Chấm điểm: Bài tập lớn GD1”
2.Hiển thị thông tin lớp và hạn nộp
3.Cột trái: danh sách sinh viên
4.Cột phải: bài làm + form đánh giá</t>
  </si>
  <si>
    <t xml:space="preserve">(Tìm kiếm) Tìm kiếm sinh viên theo tên </t>
  </si>
  <si>
    <t>(Tìm kiếm) Click chọn sinh viên</t>
  </si>
  <si>
    <t>1.Click 1 sinh viên trong danh sách</t>
  </si>
  <si>
    <t>1.Sinh viên được highlight
2.Load bài làm tương ứng ở cột phải</t>
  </si>
  <si>
    <t>(Xem bài làm sinh viên) Hiển thị bài làm đã nộp</t>
  </si>
  <si>
    <t>1.Hiển thị tên file
2.Hiển thị dung lượng
3.Có nút tải file</t>
  </si>
  <si>
    <t>(Xem bài làm sinh viên) Tải file bài làm</t>
  </si>
  <si>
    <t>1.File được tải về thành công
2.File mở được, đúng định dạng</t>
  </si>
  <si>
    <t>(Xem bài làm sinh viên) Sinh viên chưa nộp bài</t>
  </si>
  <si>
    <t>1.Hiển thị thông báo “Sinh viên chưa nộp bài”, có icon chưa nộp bên danh sách sinh viên
2.Không hiển thị file đính kèm</t>
  </si>
  <si>
    <t>(Chấm điểm &amp; đánh giá) Nhập điểm hợp lệ</t>
  </si>
  <si>
    <t>1.Không hiển thị lỗi
2.Cho phép lưu</t>
  </si>
  <si>
    <t>(Chấm điểm &amp; đánh giá) Nhập điểm không hợp lệ</t>
  </si>
  <si>
    <t>1.Hiển thông báo thị lỗi “Điểm phải từ 0–10”
2.Không cho phép lưu</t>
  </si>
  <si>
    <t>(Chấm điểm &amp; đánh giá) Điểm không phải số</t>
  </si>
  <si>
    <t>1.Hiển thông báo thị lỗi “Điểm phải là kí tự số”
2.Không cho phép lưu</t>
  </si>
  <si>
    <t>(Chấm điểm &amp; đánh giá) Nhập nhận xét</t>
  </si>
  <si>
    <t>(Chấm điểm &amp; đánh giá) Chọn trạng thái kết quả</t>
  </si>
  <si>
    <t>1.Dropdown hiển thị đầy đủ: Đạt / Không đạt
2.Lưu đúng trạng thái đã chọn</t>
  </si>
  <si>
    <t>(Lưu &amp; gửi điểm) Lưu nháp</t>
  </si>
  <si>
    <t>1.Lưu dữ liệu tạm
2.Không gửi điểm cho sinh viên</t>
  </si>
  <si>
    <t>(Lưu &amp; gửi điểm) Lưu &amp; gửi điểm</t>
  </si>
  <si>
    <t>1.Lưu dữ liệu thành công
2.Sinh viên nhận được kết quả</t>
  </si>
  <si>
    <t>(Lưu &amp; gửi điểm) Chuyển sinh viên khi chưa lưu</t>
  </si>
  <si>
    <t>1. Hiển thị cảnh báo mất dữ liệu</t>
  </si>
  <si>
    <t>(Công bố điểm) Công bố điểm</t>
  </si>
  <si>
    <t>1.Chọn nút "Công bố điểm"</t>
  </si>
  <si>
    <t>1.Hiển thị popup xác nhận
2.Điểm được công bố cho toàn bộ sinh viên</t>
  </si>
  <si>
    <t>(Công bố điểm) Công bố khi chưa chấm đủ</t>
  </si>
  <si>
    <t>1.Hiển thị cảnh báo “Chưa chấm đủ sinh viên”
2.Không cho công bố</t>
  </si>
  <si>
    <t>1.File Excel được tải về
2. Hiển thị trong file MSSV, tên, điểm, trạng thái</t>
  </si>
  <si>
    <t>(Phân quyền &amp; bảo mật) Giảng viên không phụ trách lớp</t>
  </si>
  <si>
    <t>1.Không truy cập được trang
2.Hiển thị thông báo phân quyền</t>
  </si>
  <si>
    <t>Điểm danh(Giảng Viên)</t>
  </si>
  <si>
    <t>GUI_SHOW Trang điểm danh</t>
  </si>
  <si>
    <t>FUNCTION_SHOW Trang điểm danh</t>
  </si>
  <si>
    <t xml:space="preserve"> </t>
  </si>
  <si>
    <t>Nút màu cam, nút có thể click được</t>
  </si>
  <si>
    <t xml:space="preserve">Giao diện không vỡ khi thu nhỏ màn hình                                     </t>
  </si>
  <si>
    <t>GUI-DD01</t>
  </si>
  <si>
    <t>GUI-DD02</t>
  </si>
  <si>
    <t>FUNC-DD01</t>
  </si>
  <si>
    <t>FUNC-DD02</t>
  </si>
  <si>
    <t>FUNC-DD03</t>
  </si>
  <si>
    <t>FUNC-DD04</t>
  </si>
  <si>
    <t>FUNC-BT&amp;KQ01</t>
  </si>
  <si>
    <t>FUNC-BT&amp;KQ02</t>
  </si>
  <si>
    <t>FUNC-BT&amp;KQ03</t>
  </si>
  <si>
    <t>FUNC-BT&amp;KQ04</t>
  </si>
  <si>
    <t>FUNC-BT&amp;KQ05</t>
  </si>
  <si>
    <t>FUNC-BT&amp;KQ06</t>
  </si>
  <si>
    <t>FUNC-BT&amp;KQ07</t>
  </si>
  <si>
    <t>FUNC-BT&amp;KQ08</t>
  </si>
  <si>
    <t>FUNC-BT&amp;KQ09</t>
  </si>
  <si>
    <t>FUNC-BT&amp;KQ10</t>
  </si>
  <si>
    <t>FUNC-BT&amp;KQ11</t>
  </si>
  <si>
    <t>FUNC-BT&amp;KQ12</t>
  </si>
  <si>
    <t>FUNC-BT&amp;KQ13</t>
  </si>
  <si>
    <t>FUNC-BT&amp;KQ14</t>
  </si>
  <si>
    <t>FUNC-BT&amp;KQ15</t>
  </si>
  <si>
    <t>FUNC-BT&amp;KQ16</t>
  </si>
  <si>
    <t>FUNC-BT&amp;KQ17</t>
  </si>
  <si>
    <t>FUNC-BT&amp;KQ18</t>
  </si>
  <si>
    <t>FUNC-BT&amp;KQ19</t>
  </si>
  <si>
    <t>Vinh</t>
  </si>
  <si>
    <t>Hoàng</t>
  </si>
  <si>
    <t>Trình</t>
  </si>
  <si>
    <t>1.Giảng Trình chỉ xem được chi tiết lớp của mình
2.Không truy cập được lớp không thuộc quyền</t>
  </si>
  <si>
    <t xml:space="preserve">Quản lý lớp học </t>
  </si>
  <si>
    <t xml:space="preserve">AgoraLearn+ 
Nền tảng học trực tuyến với AI Attendance, phân tích tương tác học tập và gợi ý cải thiện 
</t>
  </si>
  <si>
    <t>AgoraLearn+ 
Nền tảng học trực tuyến với AI Attendance, phân tích tương tác học tập và gợi ý cải thiện</t>
  </si>
  <si>
    <t>Quản lí lớp học(Giảng viên)</t>
  </si>
  <si>
    <t>Quản lí sinh viên(Giảng viên)</t>
  </si>
  <si>
    <t>(Phân quyền &amp; bảo mật) Giảng Vinh truy cập sinh viên không thuộc lớp</t>
  </si>
  <si>
    <t>1.Nhập điểm "8.5"
2.Chọn trạng thái                                           
3.Nhấn nút lưu</t>
  </si>
  <si>
    <t>1.Nhập điểm điểm ngoài phạm vi (-1,11,..)
2.Chọn trạng thái                                              
3.Nhấn nút lưu</t>
  </si>
  <si>
    <t>1.Nhập điểm điểm không phải số (abc, .,',....)                                                                        2.Chọn trạng thái                         
3.Nhập nhận xét                                
4.Nhấn nút lưu</t>
  </si>
  <si>
    <t>1.Nhập điểm                                                             
2.Chọn trạng thái                       
3.Nhập nhận xét                         
4.Nhấn nút lưu</t>
  </si>
  <si>
    <t>1.Nhập điểm điểm                                                      
2.Chọn trạng thái                         
3.Nhập nhận xét                         
4.Nhấn nút lưu</t>
  </si>
  <si>
    <t>1.Nhập điểm điểm                                                             
2.Chọn trạng thái                         
3.Nhập nhận xét                         
4.Nhấn nút lưu nháp</t>
  </si>
  <si>
    <t>1.Nhập điểm điểm                                                             
2.Chọn trạng thái                         
3.Nhập nhận xét                         
4.Nhấn nút Lưu &amp; gửi điểm</t>
  </si>
  <si>
    <t>1.Nhập điểm điểm                                                             
2.Chọn trạng thái                        
3.Nhập nhận xét                         
4.Chuyển sang sinh viên khác mà không lưu</t>
  </si>
  <si>
    <t>1.GV truy cập vào hệ thống               
2.Nhấn "Chấm điểm" ở Nabar bên trái</t>
  </si>
  <si>
    <t xml:space="preserve">1.Click 1 sinh viên trong danh sách         
2.Nhấn nút tải file </t>
  </si>
  <si>
    <t>1.Bảng không vỡ layout khi thu nhỏ màn hình                     
2.Hiển thị đúng hàng/cột</t>
  </si>
  <si>
    <t>1.GV truy cập vào hệ thống               
2.Nhấn "sinh viên" ở Nabar bên trái</t>
  </si>
  <si>
    <t>24/10/2025</t>
  </si>
  <si>
    <t>25/10/2025</t>
  </si>
  <si>
    <t>26/10/2025</t>
  </si>
  <si>
    <t>26/10/2026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</si>
</sst>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-mmm\-yy;@"/>
  </numFmts>
  <fonts count="2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000000"/>
      <name val="Times New Roman"/>
    </font>
    <font>
      <sz val="13"/>
      <name val="Times New Roman"/>
      <family val="1"/>
    </font>
    <font>
      <b/>
      <sz val="13"/>
      <color rgb="FFFFFFFF"/>
      <name val="Times New Roman"/>
      <family val="1"/>
    </font>
    <font>
      <b/>
      <sz val="13"/>
      <name val="Times New Roman"/>
      <family val="1"/>
    </font>
    <font>
      <b/>
      <sz val="13"/>
      <color indexed="9"/>
      <name val="Times New Roman"/>
      <family val="1"/>
    </font>
    <font>
      <sz val="10"/>
      <name val="Arial2"/>
    </font>
    <font>
      <sz val="13"/>
      <color indexed="63"/>
      <name val="Times New Roman"/>
      <family val="1"/>
    </font>
    <font>
      <sz val="11"/>
      <name val="ＭＳ Ｐゴシック"/>
      <family val="2"/>
    </font>
    <font>
      <sz val="13"/>
      <color indexed="8"/>
      <name val="Times New Roman"/>
      <family val="1"/>
    </font>
    <font>
      <sz val="13"/>
      <color rgb="FF00000A"/>
      <name val="Times New Roman"/>
      <family val="1"/>
    </font>
    <font>
      <sz val="15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sz val="16"/>
      <color rgb="FF9C0006"/>
      <name val="Calibri"/>
      <family val="2"/>
      <scheme val="minor"/>
    </font>
    <font>
      <sz val="16"/>
      <color rgb="FF9C0006"/>
      <name val="Times New Roman"/>
      <family val="1"/>
    </font>
    <font>
      <b/>
      <sz val="11"/>
      <color rgb="FF9C0006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21"/>
        <bgColor indexed="38"/>
      </patternFill>
    </fill>
    <fill>
      <patternFill patternType="solid">
        <fgColor theme="0"/>
        <bgColor indexed="38"/>
      </patternFill>
    </fill>
    <fill>
      <patternFill patternType="solid">
        <fgColor rgb="FF008080"/>
        <bgColor rgb="FF008080"/>
      </patternFill>
    </fill>
    <fill>
      <patternFill patternType="solid">
        <fgColor indexed="27"/>
        <bgColor indexed="41"/>
      </patternFill>
    </fill>
    <fill>
      <patternFill patternType="solid">
        <fgColor indexed="9"/>
        <bgColor indexed="26"/>
      </patternFill>
    </fill>
    <fill>
      <patternFill patternType="solid">
        <fgColor rgb="FFFFFFFF"/>
        <b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 style="hair">
        <color indexed="8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8" fillId="0" borderId="0" applyBorder="0" applyProtection="0">
      <alignment vertical="center"/>
    </xf>
    <xf numFmtId="0" fontId="10" fillId="0" borderId="0"/>
    <xf numFmtId="0" fontId="14" fillId="8" borderId="0" applyNumberFormat="0" applyBorder="0" applyAlignment="0" applyProtection="0"/>
    <xf numFmtId="0" fontId="15" fillId="9" borderId="0" applyNumberFormat="0" applyBorder="0" applyAlignment="0" applyProtection="0"/>
  </cellStyleXfs>
  <cellXfs count="102">
    <xf numFmtId="0" fontId="0" fillId="0" borderId="0" xfId="0"/>
    <xf numFmtId="0" fontId="2" fillId="0" borderId="0" xfId="0" applyFont="1"/>
    <xf numFmtId="0" fontId="2" fillId="3" borderId="12" xfId="0" applyFont="1" applyFill="1" applyBorder="1" applyAlignment="1">
      <alignment horizontal="center" vertical="center"/>
    </xf>
    <xf numFmtId="0" fontId="2" fillId="0" borderId="12" xfId="0" applyFont="1" applyBorder="1"/>
    <xf numFmtId="0" fontId="1" fillId="3" borderId="1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5" fillId="4" borderId="12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top"/>
    </xf>
    <xf numFmtId="164" fontId="4" fillId="0" borderId="0" xfId="0" applyNumberFormat="1" applyFont="1"/>
    <xf numFmtId="0" fontId="4" fillId="0" borderId="0" xfId="0" applyFont="1"/>
    <xf numFmtId="0" fontId="4" fillId="0" borderId="12" xfId="0" applyFont="1" applyBorder="1" applyAlignment="1">
      <alignment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vertical="center" wrapText="1"/>
    </xf>
    <xf numFmtId="0" fontId="4" fillId="0" borderId="12" xfId="1" applyFont="1" applyBorder="1" applyAlignment="1" applyProtection="1">
      <alignment horizontal="center" vertical="center" wrapText="1"/>
    </xf>
    <xf numFmtId="0" fontId="4" fillId="0" borderId="12" xfId="0" applyFont="1" applyBorder="1" applyAlignment="1">
      <alignment horizontal="right" vertical="center" wrapText="1"/>
    </xf>
    <xf numFmtId="0" fontId="6" fillId="0" borderId="0" xfId="0" applyFont="1"/>
    <xf numFmtId="0" fontId="9" fillId="0" borderId="0" xfId="0" applyFont="1"/>
    <xf numFmtId="0" fontId="4" fillId="0" borderId="0" xfId="0" applyFont="1" applyAlignment="1">
      <alignment horizontal="left" vertical="top" wrapText="1"/>
    </xf>
    <xf numFmtId="0" fontId="7" fillId="2" borderId="12" xfId="0" applyFont="1" applyFill="1" applyBorder="1" applyAlignment="1">
      <alignment horizontal="center" vertical="top" wrapText="1"/>
    </xf>
    <xf numFmtId="164" fontId="7" fillId="2" borderId="12" xfId="0" applyNumberFormat="1" applyFont="1" applyFill="1" applyBorder="1" applyAlignment="1">
      <alignment horizontal="center" vertical="center" wrapText="1"/>
    </xf>
    <xf numFmtId="0" fontId="4" fillId="6" borderId="12" xfId="2" applyFont="1" applyFill="1" applyBorder="1" applyAlignment="1">
      <alignment horizontal="left" vertical="top" wrapText="1"/>
    </xf>
    <xf numFmtId="0" fontId="4" fillId="6" borderId="12" xfId="0" applyFont="1" applyFill="1" applyBorder="1" applyAlignment="1">
      <alignment horizontal="left" vertical="top" wrapText="1"/>
    </xf>
    <xf numFmtId="0" fontId="4" fillId="0" borderId="12" xfId="0" applyFont="1" applyBorder="1" applyAlignment="1">
      <alignment vertical="top"/>
    </xf>
    <xf numFmtId="0" fontId="11" fillId="6" borderId="12" xfId="0" applyFont="1" applyFill="1" applyBorder="1" applyAlignment="1">
      <alignment horizontal="left" vertical="top" wrapText="1"/>
    </xf>
    <xf numFmtId="0" fontId="4" fillId="0" borderId="12" xfId="0" applyFont="1" applyBorder="1" applyAlignment="1">
      <alignment horizontal="center" vertical="top"/>
    </xf>
    <xf numFmtId="0" fontId="12" fillId="0" borderId="12" xfId="0" applyFont="1" applyBorder="1" applyAlignment="1">
      <alignment horizontal="center" vertical="top"/>
    </xf>
    <xf numFmtId="0" fontId="4" fillId="0" borderId="12" xfId="0" applyFont="1" applyBorder="1" applyAlignment="1">
      <alignment horizontal="left" vertical="top" wrapText="1"/>
    </xf>
    <xf numFmtId="0" fontId="4" fillId="7" borderId="12" xfId="0" applyFont="1" applyFill="1" applyBorder="1" applyAlignment="1">
      <alignment horizontal="left" vertical="top" wrapText="1"/>
    </xf>
    <xf numFmtId="0" fontId="4" fillId="7" borderId="18" xfId="0" applyFont="1" applyFill="1" applyBorder="1" applyAlignment="1">
      <alignment horizontal="left" vertical="top" wrapText="1"/>
    </xf>
    <xf numFmtId="0" fontId="4" fillId="0" borderId="18" xfId="0" applyFont="1" applyBorder="1" applyAlignment="1">
      <alignment vertical="top"/>
    </xf>
    <xf numFmtId="0" fontId="4" fillId="0" borderId="18" xfId="0" applyFont="1" applyBorder="1" applyAlignment="1">
      <alignment horizontal="center" vertical="top"/>
    </xf>
    <xf numFmtId="0" fontId="4" fillId="7" borderId="15" xfId="0" applyFont="1" applyFill="1" applyBorder="1" applyAlignment="1">
      <alignment horizontal="left" vertical="top" wrapText="1"/>
    </xf>
    <xf numFmtId="0" fontId="4" fillId="7" borderId="19" xfId="0" applyFont="1" applyFill="1" applyBorder="1" applyAlignment="1">
      <alignment horizontal="left" vertical="top" wrapText="1"/>
    </xf>
    <xf numFmtId="0" fontId="4" fillId="0" borderId="19" xfId="0" applyFont="1" applyBorder="1" applyAlignment="1">
      <alignment vertical="top"/>
    </xf>
    <xf numFmtId="0" fontId="4" fillId="0" borderId="19" xfId="0" applyFont="1" applyBorder="1" applyAlignment="1">
      <alignment horizontal="center" vertical="top"/>
    </xf>
    <xf numFmtId="0" fontId="4" fillId="0" borderId="18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14" fontId="2" fillId="0" borderId="12" xfId="0" applyNumberFormat="1" applyFont="1" applyBorder="1" applyAlignment="1">
      <alignment horizontal="right" vertical="top"/>
    </xf>
    <xf numFmtId="0" fontId="4" fillId="0" borderId="12" xfId="0" applyFont="1" applyBorder="1" applyAlignment="1">
      <alignment vertical="top" wrapText="1"/>
    </xf>
    <xf numFmtId="0" fontId="1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2" xfId="0" applyFont="1" applyBorder="1" applyAlignment="1">
      <alignment horizontal="left" indent="1"/>
    </xf>
    <xf numFmtId="0" fontId="2" fillId="0" borderId="12" xfId="0" applyFont="1" applyBorder="1" applyAlignment="1">
      <alignment horizontal="left" indent="1"/>
    </xf>
    <xf numFmtId="0" fontId="2" fillId="0" borderId="13" xfId="0" applyFont="1" applyBorder="1" applyAlignment="1">
      <alignment horizontal="left" indent="1"/>
    </xf>
    <xf numFmtId="0" fontId="2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2" fillId="0" borderId="13" xfId="0" applyFont="1" applyBorder="1" applyAlignment="1">
      <alignment horizontal="right" vertical="center"/>
    </xf>
    <xf numFmtId="0" fontId="0" fillId="0" borderId="0" xfId="0" applyFont="1"/>
    <xf numFmtId="39" fontId="4" fillId="0" borderId="0" xfId="0" applyNumberFormat="1" applyFont="1" applyAlignment="1">
      <alignment horizontal="center" vertical="top"/>
    </xf>
    <xf numFmtId="39" fontId="4" fillId="0" borderId="0" xfId="0" applyNumberFormat="1" applyFont="1"/>
    <xf numFmtId="39" fontId="0" fillId="0" borderId="0" xfId="0" applyNumberFormat="1"/>
    <xf numFmtId="39" fontId="6" fillId="0" borderId="0" xfId="0" applyNumberFormat="1" applyFont="1" applyBorder="1" applyAlignment="1">
      <alignment vertical="center" wrapText="1"/>
    </xf>
    <xf numFmtId="0" fontId="4" fillId="0" borderId="0" xfId="1" applyNumberFormat="1" applyFont="1" applyBorder="1" applyAlignment="1" applyProtection="1">
      <alignment horizontal="center" vertical="center" wrapText="1"/>
    </xf>
    <xf numFmtId="0" fontId="4" fillId="0" borderId="0" xfId="0" applyNumberFormat="1" applyFont="1" applyBorder="1" applyAlignment="1">
      <alignment vertical="center" wrapText="1"/>
    </xf>
    <xf numFmtId="0" fontId="4" fillId="0" borderId="0" xfId="0" applyNumberFormat="1" applyFont="1" applyBorder="1" applyAlignment="1">
      <alignment horizontal="right" vertical="center" wrapText="1"/>
    </xf>
    <xf numFmtId="0" fontId="2" fillId="0" borderId="13" xfId="0" applyFont="1" applyBorder="1" applyAlignment="1">
      <alignment horizontal="right"/>
    </xf>
    <xf numFmtId="0" fontId="2" fillId="10" borderId="20" xfId="0" applyFont="1" applyFill="1" applyBorder="1"/>
    <xf numFmtId="0" fontId="20" fillId="9" borderId="7" xfId="4" applyFont="1" applyBorder="1" applyAlignment="1">
      <alignment horizontal="center" vertical="center"/>
    </xf>
    <xf numFmtId="0" fontId="16" fillId="8" borderId="11" xfId="3" applyFont="1" applyBorder="1" applyAlignment="1">
      <alignment horizontal="center" vertical="center"/>
    </xf>
    <xf numFmtId="0" fontId="16" fillId="8" borderId="11" xfId="3" applyFont="1" applyBorder="1" applyAlignment="1">
      <alignment horizontal="left" indent="1"/>
    </xf>
    <xf numFmtId="164" fontId="4" fillId="0" borderId="0" xfId="0" applyNumberFormat="1" applyFont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7" fillId="2" borderId="12" xfId="0" applyNumberFormat="1" applyFont="1" applyFill="1" applyBorder="1" applyAlignment="1">
      <alignment horizontal="center" vertical="top" wrapText="1"/>
    </xf>
    <xf numFmtId="164" fontId="4" fillId="0" borderId="0" xfId="0" applyNumberFormat="1" applyFont="1" applyAlignment="1">
      <alignment horizontal="center" vertical="top"/>
    </xf>
    <xf numFmtId="14" fontId="2" fillId="0" borderId="12" xfId="0" applyNumberFormat="1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164" fontId="4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9" fillId="11" borderId="16" xfId="4" applyFont="1" applyFill="1" applyBorder="1" applyAlignment="1">
      <alignment horizontal="left" vertical="center" wrapText="1" indent="2"/>
    </xf>
    <xf numFmtId="0" fontId="18" fillId="11" borderId="17" xfId="4" applyFont="1" applyFill="1" applyBorder="1" applyAlignment="1">
      <alignment horizontal="left" vertical="center" wrapText="1" indent="2"/>
    </xf>
    <xf numFmtId="0" fontId="18" fillId="11" borderId="18" xfId="4" applyFont="1" applyFill="1" applyBorder="1" applyAlignment="1">
      <alignment horizontal="left" vertical="center" wrapText="1" indent="2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left" vertical="center"/>
    </xf>
    <xf numFmtId="0" fontId="6" fillId="5" borderId="17" xfId="0" applyFont="1" applyFill="1" applyBorder="1" applyAlignment="1">
      <alignment horizontal="left" vertical="center"/>
    </xf>
    <xf numFmtId="0" fontId="6" fillId="5" borderId="18" xfId="0" applyFont="1" applyFill="1" applyBorder="1" applyAlignment="1">
      <alignment horizontal="left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vertical="center"/>
    </xf>
    <xf numFmtId="0" fontId="6" fillId="5" borderId="17" xfId="0" applyFont="1" applyFill="1" applyBorder="1" applyAlignment="1">
      <alignment vertical="center"/>
    </xf>
    <xf numFmtId="0" fontId="6" fillId="5" borderId="18" xfId="0" applyFont="1" applyFill="1" applyBorder="1" applyAlignment="1">
      <alignment vertical="center"/>
    </xf>
    <xf numFmtId="0" fontId="17" fillId="11" borderId="0" xfId="0" applyFont="1" applyFill="1"/>
    <xf numFmtId="0" fontId="0" fillId="11" borderId="0" xfId="0" applyFill="1"/>
    <xf numFmtId="0" fontId="13" fillId="11" borderId="16" xfId="0" applyFont="1" applyFill="1" applyBorder="1" applyAlignment="1">
      <alignment horizontal="left" vertical="center" wrapText="1" indent="2"/>
    </xf>
    <xf numFmtId="0" fontId="13" fillId="11" borderId="17" xfId="0" applyFont="1" applyFill="1" applyBorder="1" applyAlignment="1">
      <alignment horizontal="left" vertical="center" wrapText="1" indent="2"/>
    </xf>
    <xf numFmtId="0" fontId="13" fillId="11" borderId="18" xfId="0" applyFont="1" applyFill="1" applyBorder="1" applyAlignment="1">
      <alignment horizontal="left" vertical="center" wrapText="1" indent="2"/>
    </xf>
  </cellXfs>
  <cellStyles count="5">
    <cellStyle name="Bad" xfId="4" builtinId="27"/>
    <cellStyle name="Good" xfId="3" builtinId="26"/>
    <cellStyle name="Normal" xfId="0" builtinId="0"/>
    <cellStyle name="Normal 10" xfId="1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348344</xdr:colOff>
      <xdr:row>4</xdr:row>
      <xdr:rowOff>254073</xdr:rowOff>
    </xdr:from>
    <xdr:to>
      <xdr:col>5</xdr:col>
      <xdr:colOff>1059107</xdr:colOff>
      <xdr:row>4</xdr:row>
      <xdr:rowOff>5084111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344" y="2082873"/>
          <a:ext cx="9590313" cy="48300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C11" sqref="C11"/>
    </sheetView>
  </sheetViews>
  <sheetFormatPr defaultRowHeight="14.4"/>
  <cols>
    <col min="1" max="1" width="15.21875" customWidth="1"/>
    <col min="2" max="2" width="36.21875" style="47" customWidth="1"/>
    <col min="3" max="3" width="42" style="49" customWidth="1"/>
    <col min="4" max="4" width="28.5546875" style="42" customWidth="1"/>
    <col min="5" max="5" width="28.77734375" customWidth="1"/>
    <col min="6" max="6" width="95.44140625" customWidth="1"/>
  </cols>
  <sheetData>
    <row r="1" spans="1:6" ht="16.8">
      <c r="A1" s="70" t="s">
        <v>0</v>
      </c>
      <c r="B1" s="71"/>
      <c r="C1" s="71"/>
      <c r="D1" s="72"/>
      <c r="E1" s="1"/>
      <c r="F1" s="1"/>
    </row>
    <row r="2" spans="1:6" ht="13.2" customHeight="1">
      <c r="A2" s="73"/>
      <c r="B2" s="74"/>
      <c r="C2" s="74"/>
      <c r="D2" s="75"/>
      <c r="E2" s="1"/>
      <c r="F2" s="1"/>
    </row>
    <row r="3" spans="1:6" ht="34.200000000000003" customHeight="1">
      <c r="A3" s="59" t="s">
        <v>1</v>
      </c>
      <c r="B3" s="76" t="s">
        <v>359</v>
      </c>
      <c r="C3" s="77"/>
      <c r="D3" s="78"/>
      <c r="E3" s="1"/>
      <c r="F3" s="1"/>
    </row>
    <row r="4" spans="1:6" ht="16.8">
      <c r="A4" s="60" t="s">
        <v>2</v>
      </c>
      <c r="B4" s="61" t="s">
        <v>3</v>
      </c>
      <c r="C4" s="60" t="s">
        <v>4</v>
      </c>
      <c r="D4" s="60" t="s">
        <v>5</v>
      </c>
      <c r="E4" s="1"/>
    </row>
    <row r="5" spans="1:6" ht="16.8">
      <c r="A5" s="2">
        <v>1</v>
      </c>
      <c r="B5" s="43" t="s">
        <v>6</v>
      </c>
      <c r="C5" s="3">
        <f>'Đăng nhập'!$F$4</f>
        <v>19</v>
      </c>
      <c r="D5" s="4" t="s">
        <v>62</v>
      </c>
      <c r="E5" s="1"/>
    </row>
    <row r="6" spans="1:6" ht="18.600000000000001" customHeight="1">
      <c r="A6" s="2">
        <v>2</v>
      </c>
      <c r="B6" s="44" t="s">
        <v>8</v>
      </c>
      <c r="C6" s="3">
        <f>'Đăng kí'!F4</f>
        <v>15</v>
      </c>
      <c r="D6" s="5" t="s">
        <v>354</v>
      </c>
      <c r="E6" s="1"/>
    </row>
    <row r="7" spans="1:6" ht="16.8" customHeight="1">
      <c r="A7" s="2">
        <v>3</v>
      </c>
      <c r="B7" s="44" t="s">
        <v>9</v>
      </c>
      <c r="C7" s="40">
        <f>'Quản lí hồ sơ cá nhân'!F4</f>
        <v>17</v>
      </c>
      <c r="D7" s="39" t="s">
        <v>62</v>
      </c>
    </row>
    <row r="8" spans="1:6" ht="16.8" customHeight="1">
      <c r="A8" s="2">
        <v>4</v>
      </c>
      <c r="B8" s="44" t="s">
        <v>10</v>
      </c>
      <c r="C8" s="40">
        <f>'Điểm danh'!F4</f>
        <v>6</v>
      </c>
      <c r="D8" s="39" t="s">
        <v>355</v>
      </c>
    </row>
    <row r="9" spans="1:6" ht="16.8" customHeight="1">
      <c r="A9" s="2">
        <v>5</v>
      </c>
      <c r="B9" s="44" t="s">
        <v>358</v>
      </c>
      <c r="C9" s="48">
        <f>'Quản lí lớp học '!F4</f>
        <v>9</v>
      </c>
      <c r="D9" s="39" t="s">
        <v>356</v>
      </c>
    </row>
    <row r="10" spans="1:6" ht="16.8" customHeight="1">
      <c r="A10" s="2">
        <v>6</v>
      </c>
      <c r="B10" s="45" t="s">
        <v>11</v>
      </c>
      <c r="C10" s="40">
        <f>'Quản lý sinh viên'!F4</f>
        <v>13</v>
      </c>
      <c r="D10" s="39" t="s">
        <v>354</v>
      </c>
    </row>
    <row r="11" spans="1:6" ht="17.399999999999999" thickBot="1">
      <c r="A11" s="2">
        <v>7</v>
      </c>
      <c r="B11" s="44" t="s">
        <v>12</v>
      </c>
      <c r="C11" s="57">
        <f>'Quản lí bài tập và kết quả'!F4</f>
        <v>22</v>
      </c>
      <c r="D11" s="5" t="s">
        <v>62</v>
      </c>
    </row>
    <row r="12" spans="1:6" ht="17.399999999999999" thickBot="1">
      <c r="A12" s="1"/>
      <c r="B12" s="46"/>
      <c r="C12" s="58">
        <f>SUM(C5,C11)</f>
        <v>41</v>
      </c>
      <c r="D12" s="41"/>
      <c r="E12" s="1"/>
      <c r="F12" s="1"/>
    </row>
    <row r="13" spans="1:6" ht="16.8">
      <c r="A13" s="1"/>
      <c r="B13" s="46"/>
      <c r="C13" s="1"/>
      <c r="D13" s="41"/>
      <c r="E13" s="1"/>
      <c r="F13" s="1"/>
    </row>
  </sheetData>
  <mergeCells count="2">
    <mergeCell ref="A1:D2"/>
    <mergeCell ref="B3:D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A4" sqref="A4:XFD4"/>
    </sheetView>
  </sheetViews>
  <sheetFormatPr defaultRowHeight="14.4"/>
  <cols>
    <col min="1" max="1" width="15" customWidth="1"/>
    <col min="2" max="2" width="26.88671875" customWidth="1"/>
    <col min="3" max="3" width="36.5546875" customWidth="1"/>
    <col min="4" max="4" width="22.6640625" customWidth="1"/>
    <col min="5" max="5" width="28.77734375" customWidth="1"/>
    <col min="6" max="6" width="31.88671875" customWidth="1"/>
    <col min="8" max="8" width="12.88671875" style="42" customWidth="1"/>
    <col min="9" max="9" width="6.5546875" customWidth="1"/>
  </cols>
  <sheetData>
    <row r="1" spans="1:10" ht="36" customHeight="1">
      <c r="A1" s="6" t="s">
        <v>13</v>
      </c>
      <c r="B1" s="79" t="s">
        <v>360</v>
      </c>
      <c r="C1" s="80"/>
      <c r="D1" s="80"/>
      <c r="E1" s="80"/>
      <c r="F1" s="81"/>
      <c r="G1" s="7"/>
      <c r="H1" s="69"/>
      <c r="I1" s="9"/>
      <c r="J1" s="9"/>
    </row>
    <row r="2" spans="1:10" ht="33.6">
      <c r="A2" s="6" t="s">
        <v>14</v>
      </c>
      <c r="B2" s="82" t="s">
        <v>7</v>
      </c>
      <c r="C2" s="83"/>
      <c r="D2" s="83"/>
      <c r="E2" s="83"/>
      <c r="F2" s="84"/>
      <c r="G2" s="7"/>
      <c r="H2" s="69"/>
      <c r="I2" s="9"/>
      <c r="J2" s="9"/>
    </row>
    <row r="3" spans="1:10" ht="16.5" customHeight="1">
      <c r="A3" s="10"/>
      <c r="B3" s="11" t="s">
        <v>15</v>
      </c>
      <c r="C3" s="11" t="s">
        <v>16</v>
      </c>
      <c r="D3" s="11" t="s">
        <v>17</v>
      </c>
      <c r="E3" s="11" t="s">
        <v>18</v>
      </c>
      <c r="F3" s="11" t="s">
        <v>19</v>
      </c>
      <c r="G3" s="7"/>
      <c r="H3" s="69"/>
      <c r="I3" s="9"/>
      <c r="J3" s="9"/>
    </row>
    <row r="4" spans="1:10" ht="16.8">
      <c r="A4" s="12" t="s">
        <v>20</v>
      </c>
      <c r="B4" s="13">
        <f>COUNTIF(G1:G50,"Passed")</f>
        <v>19</v>
      </c>
      <c r="C4" s="13">
        <f>COUNTIF(G1:G50,"Error")</f>
        <v>0</v>
      </c>
      <c r="D4" s="10">
        <f>COUNTIF(G1:G50,"Untested")</f>
        <v>0</v>
      </c>
      <c r="E4" s="14">
        <f>COUNTIF(G10:G23,"Blocked")</f>
        <v>0</v>
      </c>
      <c r="F4" s="10">
        <f>SUM(B4,C4,D4)</f>
        <v>19</v>
      </c>
      <c r="G4" s="7"/>
      <c r="H4" s="69"/>
      <c r="I4" s="9"/>
      <c r="J4" s="9"/>
    </row>
    <row r="5" spans="1:10" ht="409.5" customHeight="1">
      <c r="A5" s="15"/>
      <c r="B5" s="16"/>
      <c r="C5" s="9"/>
      <c r="D5" s="9"/>
      <c r="E5" s="17"/>
      <c r="F5" s="9"/>
      <c r="G5" s="7"/>
      <c r="H5" s="69"/>
      <c r="I5" s="9"/>
      <c r="J5" s="9"/>
    </row>
    <row r="6" spans="1:10" ht="16.8" customHeight="1">
      <c r="A6" s="85" t="s">
        <v>21</v>
      </c>
      <c r="B6" s="85" t="s">
        <v>5</v>
      </c>
      <c r="C6" s="85" t="s">
        <v>22</v>
      </c>
      <c r="D6" s="85" t="s">
        <v>23</v>
      </c>
      <c r="E6" s="85" t="s">
        <v>24</v>
      </c>
      <c r="F6" s="85" t="s">
        <v>25</v>
      </c>
      <c r="G6" s="91" t="s">
        <v>26</v>
      </c>
      <c r="H6" s="92"/>
      <c r="I6" s="93"/>
      <c r="J6" s="85" t="s">
        <v>27</v>
      </c>
    </row>
    <row r="7" spans="1:10" ht="16.8">
      <c r="A7" s="86"/>
      <c r="B7" s="86"/>
      <c r="C7" s="86"/>
      <c r="D7" s="86"/>
      <c r="E7" s="86"/>
      <c r="F7" s="86"/>
      <c r="G7" s="91" t="s">
        <v>28</v>
      </c>
      <c r="H7" s="92"/>
      <c r="I7" s="93"/>
      <c r="J7" s="86"/>
    </row>
    <row r="8" spans="1:10" ht="67.2">
      <c r="A8" s="87"/>
      <c r="B8" s="87"/>
      <c r="C8" s="87"/>
      <c r="D8" s="87"/>
      <c r="E8" s="87"/>
      <c r="F8" s="87"/>
      <c r="G8" s="18" t="s">
        <v>29</v>
      </c>
      <c r="H8" s="19" t="s">
        <v>30</v>
      </c>
      <c r="I8" s="11" t="s">
        <v>31</v>
      </c>
      <c r="J8" s="87"/>
    </row>
    <row r="9" spans="1:10" ht="16.8">
      <c r="A9" s="94" t="s">
        <v>32</v>
      </c>
      <c r="B9" s="95"/>
      <c r="C9" s="95"/>
      <c r="D9" s="95"/>
      <c r="E9" s="95"/>
      <c r="F9" s="95"/>
      <c r="G9" s="95"/>
      <c r="H9" s="95"/>
      <c r="I9" s="95"/>
      <c r="J9" s="96"/>
    </row>
    <row r="10" spans="1:10" ht="33.6">
      <c r="A10" s="20" t="s">
        <v>33</v>
      </c>
      <c r="B10" s="21" t="s">
        <v>63</v>
      </c>
      <c r="C10" s="22"/>
      <c r="D10" s="22" t="s">
        <v>41</v>
      </c>
      <c r="E10" s="23" t="s">
        <v>64</v>
      </c>
      <c r="F10" s="23" t="s">
        <v>64</v>
      </c>
      <c r="G10" s="24" t="s">
        <v>34</v>
      </c>
      <c r="H10" s="67" t="s">
        <v>376</v>
      </c>
      <c r="I10" s="25" t="s">
        <v>62</v>
      </c>
      <c r="J10" s="22"/>
    </row>
    <row r="11" spans="1:10" ht="50.4">
      <c r="A11" s="20" t="s">
        <v>35</v>
      </c>
      <c r="B11" s="21" t="s">
        <v>65</v>
      </c>
      <c r="C11" s="22"/>
      <c r="D11" s="22" t="s">
        <v>41</v>
      </c>
      <c r="E11" s="23" t="s">
        <v>66</v>
      </c>
      <c r="F11" s="23" t="s">
        <v>66</v>
      </c>
      <c r="G11" s="24" t="s">
        <v>34</v>
      </c>
      <c r="H11" s="67" t="s">
        <v>376</v>
      </c>
      <c r="I11" s="25" t="s">
        <v>62</v>
      </c>
      <c r="J11" s="22"/>
    </row>
    <row r="12" spans="1:10" ht="50.4">
      <c r="A12" s="20" t="s">
        <v>36</v>
      </c>
      <c r="B12" s="21" t="s">
        <v>67</v>
      </c>
      <c r="C12" s="22"/>
      <c r="D12" s="22" t="s">
        <v>41</v>
      </c>
      <c r="E12" s="23" t="s">
        <v>68</v>
      </c>
      <c r="F12" s="23" t="s">
        <v>68</v>
      </c>
      <c r="G12" s="24" t="s">
        <v>34</v>
      </c>
      <c r="H12" s="67" t="s">
        <v>376</v>
      </c>
      <c r="I12" s="25" t="s">
        <v>62</v>
      </c>
      <c r="J12" s="22"/>
    </row>
    <row r="13" spans="1:10" ht="50.4">
      <c r="A13" s="20" t="s">
        <v>127</v>
      </c>
      <c r="B13" s="21" t="s">
        <v>78</v>
      </c>
      <c r="C13" s="22"/>
      <c r="D13" s="22" t="s">
        <v>41</v>
      </c>
      <c r="E13" s="23" t="s">
        <v>79</v>
      </c>
      <c r="F13" s="23" t="s">
        <v>79</v>
      </c>
      <c r="G13" s="24" t="s">
        <v>34</v>
      </c>
      <c r="H13" s="67" t="s">
        <v>376</v>
      </c>
      <c r="I13" s="25" t="s">
        <v>62</v>
      </c>
      <c r="J13" s="22"/>
    </row>
    <row r="14" spans="1:10" ht="92.4" customHeight="1">
      <c r="A14" s="20" t="s">
        <v>37</v>
      </c>
      <c r="B14" s="21" t="s">
        <v>80</v>
      </c>
      <c r="C14" s="22"/>
      <c r="D14" s="22" t="s">
        <v>41</v>
      </c>
      <c r="E14" s="23" t="s">
        <v>81</v>
      </c>
      <c r="F14" s="23" t="s">
        <v>81</v>
      </c>
      <c r="G14" s="24" t="s">
        <v>34</v>
      </c>
      <c r="H14" s="67" t="s">
        <v>376</v>
      </c>
      <c r="I14" s="25" t="s">
        <v>62</v>
      </c>
      <c r="J14" s="22"/>
    </row>
    <row r="15" spans="1:10" ht="50.4">
      <c r="A15" s="20" t="s">
        <v>38</v>
      </c>
      <c r="B15" s="21" t="s">
        <v>82</v>
      </c>
      <c r="C15" s="22"/>
      <c r="D15" s="22" t="s">
        <v>41</v>
      </c>
      <c r="E15" s="23" t="s">
        <v>83</v>
      </c>
      <c r="F15" s="23" t="s">
        <v>84</v>
      </c>
      <c r="G15" s="24" t="s">
        <v>34</v>
      </c>
      <c r="H15" s="67" t="s">
        <v>376</v>
      </c>
      <c r="I15" s="25" t="s">
        <v>62</v>
      </c>
      <c r="J15" s="22"/>
    </row>
    <row r="16" spans="1:10" ht="50.4">
      <c r="A16" s="20" t="s">
        <v>85</v>
      </c>
      <c r="B16" s="21" t="s">
        <v>86</v>
      </c>
      <c r="C16" s="22"/>
      <c r="D16" s="22" t="s">
        <v>41</v>
      </c>
      <c r="E16" s="23" t="s">
        <v>87</v>
      </c>
      <c r="F16" s="23" t="s">
        <v>87</v>
      </c>
      <c r="G16" s="24" t="s">
        <v>34</v>
      </c>
      <c r="H16" s="67" t="s">
        <v>376</v>
      </c>
      <c r="I16" s="25" t="s">
        <v>62</v>
      </c>
      <c r="J16" s="22"/>
    </row>
    <row r="17" spans="1:10" ht="33.6">
      <c r="A17" s="20" t="s">
        <v>88</v>
      </c>
      <c r="B17" s="21" t="s">
        <v>89</v>
      </c>
      <c r="C17" s="22"/>
      <c r="D17" s="38" t="s">
        <v>90</v>
      </c>
      <c r="E17" s="23" t="s">
        <v>91</v>
      </c>
      <c r="F17" s="23" t="s">
        <v>91</v>
      </c>
      <c r="G17" s="24" t="s">
        <v>34</v>
      </c>
      <c r="H17" s="67" t="s">
        <v>376</v>
      </c>
      <c r="I17" s="25" t="s">
        <v>62</v>
      </c>
      <c r="J17" s="22"/>
    </row>
    <row r="18" spans="1:10" ht="50.4">
      <c r="A18" s="20" t="s">
        <v>128</v>
      </c>
      <c r="B18" s="21" t="s">
        <v>92</v>
      </c>
      <c r="C18" s="22"/>
      <c r="D18" s="38" t="s">
        <v>93</v>
      </c>
      <c r="E18" s="23" t="s">
        <v>94</v>
      </c>
      <c r="F18" s="23" t="s">
        <v>94</v>
      </c>
      <c r="G18" s="24" t="s">
        <v>34</v>
      </c>
      <c r="H18" s="67" t="s">
        <v>376</v>
      </c>
      <c r="I18" s="25" t="s">
        <v>62</v>
      </c>
      <c r="J18" s="22"/>
    </row>
    <row r="19" spans="1:10" ht="16.8">
      <c r="A19" s="88" t="s">
        <v>39</v>
      </c>
      <c r="B19" s="89"/>
      <c r="C19" s="89"/>
      <c r="D19" s="89"/>
      <c r="E19" s="89"/>
      <c r="F19" s="89"/>
      <c r="G19" s="89"/>
      <c r="H19" s="89"/>
      <c r="I19" s="89"/>
      <c r="J19" s="90"/>
    </row>
    <row r="20" spans="1:10" ht="108.6" customHeight="1">
      <c r="A20" s="21" t="s">
        <v>40</v>
      </c>
      <c r="B20" s="21" t="s">
        <v>69</v>
      </c>
      <c r="C20" s="21" t="s">
        <v>70</v>
      </c>
      <c r="D20" s="22" t="s">
        <v>41</v>
      </c>
      <c r="E20" s="26" t="s">
        <v>47</v>
      </c>
      <c r="F20" s="26" t="s">
        <v>47</v>
      </c>
      <c r="G20" s="24" t="s">
        <v>34</v>
      </c>
      <c r="H20" s="67" t="s">
        <v>376</v>
      </c>
      <c r="I20" s="25" t="s">
        <v>62</v>
      </c>
      <c r="J20" s="22"/>
    </row>
    <row r="21" spans="1:10" ht="67.2">
      <c r="A21" s="27" t="s">
        <v>42</v>
      </c>
      <c r="B21" s="28" t="s">
        <v>48</v>
      </c>
      <c r="C21" s="28" t="s">
        <v>72</v>
      </c>
      <c r="D21" s="29" t="s">
        <v>41</v>
      </c>
      <c r="E21" s="35" t="s">
        <v>49</v>
      </c>
      <c r="F21" s="35" t="s">
        <v>49</v>
      </c>
      <c r="G21" s="30" t="s">
        <v>34</v>
      </c>
      <c r="H21" s="67" t="s">
        <v>376</v>
      </c>
      <c r="I21" s="25" t="s">
        <v>62</v>
      </c>
      <c r="J21" s="29"/>
    </row>
    <row r="22" spans="1:10" ht="84">
      <c r="A22" s="31" t="s">
        <v>43</v>
      </c>
      <c r="B22" s="32" t="s">
        <v>50</v>
      </c>
      <c r="C22" s="32" t="s">
        <v>51</v>
      </c>
      <c r="D22" s="33" t="s">
        <v>41</v>
      </c>
      <c r="E22" s="36" t="s">
        <v>52</v>
      </c>
      <c r="F22" s="36" t="s">
        <v>52</v>
      </c>
      <c r="G22" s="34" t="s">
        <v>34</v>
      </c>
      <c r="H22" s="67" t="s">
        <v>376</v>
      </c>
      <c r="I22" s="25" t="s">
        <v>62</v>
      </c>
      <c r="J22" s="33"/>
    </row>
    <row r="23" spans="1:10" ht="50.4">
      <c r="A23" s="31" t="s">
        <v>44</v>
      </c>
      <c r="B23" s="32" t="s">
        <v>53</v>
      </c>
      <c r="C23" s="32" t="s">
        <v>54</v>
      </c>
      <c r="D23" s="33" t="s">
        <v>41</v>
      </c>
      <c r="E23" s="36" t="s">
        <v>55</v>
      </c>
      <c r="F23" s="36" t="s">
        <v>55</v>
      </c>
      <c r="G23" s="34" t="s">
        <v>34</v>
      </c>
      <c r="H23" s="67" t="s">
        <v>376</v>
      </c>
      <c r="I23" s="25" t="s">
        <v>62</v>
      </c>
      <c r="J23" s="33"/>
    </row>
    <row r="24" spans="1:10" ht="81" customHeight="1">
      <c r="A24" s="31" t="s">
        <v>45</v>
      </c>
      <c r="B24" s="32" t="s">
        <v>56</v>
      </c>
      <c r="C24" s="32" t="s">
        <v>57</v>
      </c>
      <c r="D24" s="33" t="s">
        <v>41</v>
      </c>
      <c r="E24" s="36" t="s">
        <v>52</v>
      </c>
      <c r="F24" s="36" t="s">
        <v>52</v>
      </c>
      <c r="G24" s="34" t="s">
        <v>34</v>
      </c>
      <c r="H24" s="67" t="s">
        <v>376</v>
      </c>
      <c r="I24" s="25" t="s">
        <v>62</v>
      </c>
      <c r="J24" s="33"/>
    </row>
    <row r="25" spans="1:10" ht="50.4">
      <c r="A25" s="21" t="s">
        <v>46</v>
      </c>
      <c r="B25" s="21" t="s">
        <v>73</v>
      </c>
      <c r="C25" s="21" t="s">
        <v>77</v>
      </c>
      <c r="D25" s="22" t="s">
        <v>41</v>
      </c>
      <c r="E25" s="26" t="s">
        <v>47</v>
      </c>
      <c r="F25" s="26" t="s">
        <v>47</v>
      </c>
      <c r="G25" s="24" t="s">
        <v>34</v>
      </c>
      <c r="H25" s="67" t="s">
        <v>376</v>
      </c>
      <c r="I25" s="25" t="s">
        <v>62</v>
      </c>
      <c r="J25" s="33"/>
    </row>
    <row r="26" spans="1:10" ht="67.2">
      <c r="A26" s="27" t="s">
        <v>58</v>
      </c>
      <c r="B26" s="28" t="s">
        <v>74</v>
      </c>
      <c r="C26" s="28" t="s">
        <v>76</v>
      </c>
      <c r="D26" s="29" t="s">
        <v>41</v>
      </c>
      <c r="E26" s="35" t="s">
        <v>49</v>
      </c>
      <c r="F26" s="35" t="s">
        <v>49</v>
      </c>
      <c r="G26" s="30" t="s">
        <v>34</v>
      </c>
      <c r="H26" s="67" t="s">
        <v>376</v>
      </c>
      <c r="I26" s="25" t="s">
        <v>62</v>
      </c>
      <c r="J26" s="33"/>
    </row>
    <row r="27" spans="1:10" ht="84">
      <c r="A27" s="31" t="s">
        <v>59</v>
      </c>
      <c r="B27" s="32" t="s">
        <v>60</v>
      </c>
      <c r="C27" s="32" t="s">
        <v>51</v>
      </c>
      <c r="D27" s="33" t="s">
        <v>41</v>
      </c>
      <c r="E27" s="36" t="s">
        <v>52</v>
      </c>
      <c r="F27" s="36" t="s">
        <v>52</v>
      </c>
      <c r="G27" s="34" t="s">
        <v>34</v>
      </c>
      <c r="H27" s="67" t="s">
        <v>376</v>
      </c>
      <c r="I27" s="25" t="s">
        <v>62</v>
      </c>
      <c r="J27" s="33"/>
    </row>
    <row r="28" spans="1:10" ht="50.4">
      <c r="A28" s="31" t="s">
        <v>75</v>
      </c>
      <c r="B28" s="32" t="s">
        <v>53</v>
      </c>
      <c r="C28" s="32" t="s">
        <v>54</v>
      </c>
      <c r="D28" s="33" t="s">
        <v>41</v>
      </c>
      <c r="E28" s="36" t="s">
        <v>55</v>
      </c>
      <c r="F28" s="36" t="s">
        <v>55</v>
      </c>
      <c r="G28" s="34" t="s">
        <v>34</v>
      </c>
      <c r="H28" s="67" t="s">
        <v>376</v>
      </c>
      <c r="I28" s="25" t="s">
        <v>62</v>
      </c>
      <c r="J28" s="33"/>
    </row>
    <row r="29" spans="1:10" ht="84">
      <c r="A29" s="31" t="s">
        <v>71</v>
      </c>
      <c r="B29" s="32" t="s">
        <v>61</v>
      </c>
      <c r="C29" s="32" t="s">
        <v>57</v>
      </c>
      <c r="D29" s="33" t="s">
        <v>41</v>
      </c>
      <c r="E29" s="36" t="s">
        <v>52</v>
      </c>
      <c r="F29" s="36" t="s">
        <v>52</v>
      </c>
      <c r="G29" s="34" t="s">
        <v>34</v>
      </c>
      <c r="H29" s="67" t="s">
        <v>376</v>
      </c>
      <c r="I29" s="25" t="s">
        <v>62</v>
      </c>
      <c r="J29" s="33"/>
    </row>
  </sheetData>
  <mergeCells count="13">
    <mergeCell ref="A19:J19"/>
    <mergeCell ref="G6:I6"/>
    <mergeCell ref="J6:J8"/>
    <mergeCell ref="G7:I7"/>
    <mergeCell ref="A9:J9"/>
    <mergeCell ref="B1:F1"/>
    <mergeCell ref="B2:F2"/>
    <mergeCell ref="A6:A8"/>
    <mergeCell ref="B6:B8"/>
    <mergeCell ref="C6:C8"/>
    <mergeCell ref="D6:D8"/>
    <mergeCell ref="E6:E8"/>
    <mergeCell ref="F6:F8"/>
  </mergeCells>
  <dataValidations count="1">
    <dataValidation type="list" operator="equal" allowBlank="1" showErrorMessage="1" promptTitle="dfdf" sqref="G20:G29 G10:G18">
      <formula1>"Passed,Untested,Failed,Blocked"</formula1>
      <formula2>0</formula2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zoomScale="72" zoomScaleNormal="82" workbookViewId="0">
      <selection activeCell="A4" sqref="A4:XFD4"/>
    </sheetView>
  </sheetViews>
  <sheetFormatPr defaultRowHeight="14.4"/>
  <cols>
    <col min="1" max="1" width="17.88671875" customWidth="1"/>
    <col min="2" max="2" width="31.88671875" customWidth="1"/>
    <col min="3" max="3" width="36.5546875" customWidth="1"/>
    <col min="4" max="4" width="25.44140625" customWidth="1"/>
    <col min="5" max="5" width="32.5546875" customWidth="1"/>
    <col min="6" max="6" width="35.6640625" customWidth="1"/>
    <col min="8" max="8" width="14" style="42" customWidth="1"/>
  </cols>
  <sheetData>
    <row r="1" spans="1:10" ht="48" customHeight="1">
      <c r="A1" s="6" t="s">
        <v>13</v>
      </c>
      <c r="B1" s="79" t="s">
        <v>360</v>
      </c>
      <c r="C1" s="80"/>
      <c r="D1" s="80"/>
      <c r="E1" s="80"/>
      <c r="F1" s="81"/>
      <c r="G1" s="7"/>
      <c r="H1" s="69"/>
      <c r="I1" s="9"/>
      <c r="J1" s="9"/>
    </row>
    <row r="2" spans="1:10" ht="21">
      <c r="A2" s="6" t="s">
        <v>14</v>
      </c>
      <c r="B2" s="97" t="s">
        <v>8</v>
      </c>
      <c r="C2" s="98"/>
      <c r="D2" s="98"/>
      <c r="E2" s="98"/>
      <c r="F2" s="98"/>
      <c r="G2" s="7"/>
      <c r="H2" s="69"/>
      <c r="I2" s="9"/>
      <c r="J2" s="9"/>
    </row>
    <row r="3" spans="1:10" ht="16.5" customHeight="1">
      <c r="A3" s="10"/>
      <c r="B3" s="11" t="s">
        <v>15</v>
      </c>
      <c r="C3" s="11" t="s">
        <v>16</v>
      </c>
      <c r="D3" s="11" t="s">
        <v>17</v>
      </c>
      <c r="E3" s="11" t="s">
        <v>18</v>
      </c>
      <c r="F3" s="11" t="s">
        <v>19</v>
      </c>
      <c r="G3" s="7"/>
      <c r="H3" s="69"/>
      <c r="I3" s="9"/>
      <c r="J3" s="9"/>
    </row>
    <row r="4" spans="1:10" ht="16.8">
      <c r="A4" s="12" t="s">
        <v>20</v>
      </c>
      <c r="B4" s="13">
        <f>COUNTIF(G1:G50,"Passed")</f>
        <v>15</v>
      </c>
      <c r="C4" s="13">
        <f>COUNTIF(G1:G50,"Error")</f>
        <v>0</v>
      </c>
      <c r="D4" s="10">
        <f>COUNTIF(G1:G50,"Untested")</f>
        <v>0</v>
      </c>
      <c r="E4" s="14">
        <f>COUNTIF(G10:G23,"Blocked")</f>
        <v>0</v>
      </c>
      <c r="F4" s="10">
        <f>SUM(B4,C4,D4)</f>
        <v>15</v>
      </c>
      <c r="G4" s="7"/>
      <c r="H4" s="69"/>
      <c r="I4" s="9"/>
      <c r="J4" s="9"/>
    </row>
    <row r="5" spans="1:10" ht="409.5" customHeight="1">
      <c r="A5" s="15"/>
      <c r="B5" s="16"/>
      <c r="C5" s="9"/>
      <c r="D5" s="9"/>
      <c r="E5" s="17"/>
      <c r="F5" s="9"/>
      <c r="G5" s="7"/>
      <c r="H5" s="69"/>
      <c r="I5" s="9"/>
      <c r="J5" s="9"/>
    </row>
    <row r="6" spans="1:10" ht="16.8" customHeight="1">
      <c r="A6" s="85" t="s">
        <v>21</v>
      </c>
      <c r="B6" s="85" t="s">
        <v>5</v>
      </c>
      <c r="C6" s="85" t="s">
        <v>22</v>
      </c>
      <c r="D6" s="85" t="s">
        <v>23</v>
      </c>
      <c r="E6" s="85" t="s">
        <v>24</v>
      </c>
      <c r="F6" s="85" t="s">
        <v>25</v>
      </c>
      <c r="G6" s="91" t="s">
        <v>26</v>
      </c>
      <c r="H6" s="92"/>
      <c r="I6" s="93"/>
      <c r="J6" s="85" t="s">
        <v>27</v>
      </c>
    </row>
    <row r="7" spans="1:10" ht="16.8">
      <c r="A7" s="86"/>
      <c r="B7" s="86"/>
      <c r="C7" s="86"/>
      <c r="D7" s="86"/>
      <c r="E7" s="86"/>
      <c r="F7" s="86"/>
      <c r="G7" s="91" t="s">
        <v>28</v>
      </c>
      <c r="H7" s="92"/>
      <c r="I7" s="93"/>
      <c r="J7" s="86"/>
    </row>
    <row r="8" spans="1:10" ht="50.4">
      <c r="A8" s="87"/>
      <c r="B8" s="87"/>
      <c r="C8" s="87"/>
      <c r="D8" s="87"/>
      <c r="E8" s="87"/>
      <c r="F8" s="87"/>
      <c r="G8" s="18" t="s">
        <v>29</v>
      </c>
      <c r="H8" s="19" t="s">
        <v>30</v>
      </c>
      <c r="I8" s="11" t="s">
        <v>31</v>
      </c>
      <c r="J8" s="87"/>
    </row>
    <row r="9" spans="1:10" ht="16.8">
      <c r="A9" s="94" t="s">
        <v>32</v>
      </c>
      <c r="B9" s="95"/>
      <c r="C9" s="95"/>
      <c r="D9" s="95"/>
      <c r="E9" s="95"/>
      <c r="F9" s="95"/>
      <c r="G9" s="95"/>
      <c r="H9" s="95"/>
      <c r="I9" s="95"/>
      <c r="J9" s="96"/>
    </row>
    <row r="10" spans="1:10" ht="33.6">
      <c r="A10" s="20" t="s">
        <v>182</v>
      </c>
      <c r="B10" s="21" t="s">
        <v>63</v>
      </c>
      <c r="C10" s="22"/>
      <c r="D10" s="22" t="s">
        <v>41</v>
      </c>
      <c r="E10" s="23" t="s">
        <v>64</v>
      </c>
      <c r="F10" s="23" t="s">
        <v>64</v>
      </c>
      <c r="G10" s="24" t="s">
        <v>34</v>
      </c>
      <c r="H10" s="67" t="s">
        <v>376</v>
      </c>
      <c r="I10" s="25" t="s">
        <v>354</v>
      </c>
      <c r="J10" s="22"/>
    </row>
    <row r="11" spans="1:10" ht="33.6">
      <c r="A11" s="20" t="s">
        <v>183</v>
      </c>
      <c r="B11" s="21" t="s">
        <v>65</v>
      </c>
      <c r="C11" s="22"/>
      <c r="D11" s="22" t="s">
        <v>41</v>
      </c>
      <c r="E11" s="23" t="s">
        <v>106</v>
      </c>
      <c r="F11" s="23" t="s">
        <v>106</v>
      </c>
      <c r="G11" s="24" t="s">
        <v>34</v>
      </c>
      <c r="H11" s="67" t="s">
        <v>376</v>
      </c>
      <c r="I11" s="25" t="s">
        <v>354</v>
      </c>
      <c r="J11" s="22"/>
    </row>
    <row r="12" spans="1:10" ht="50.4">
      <c r="A12" s="20" t="s">
        <v>184</v>
      </c>
      <c r="B12" s="21" t="s">
        <v>67</v>
      </c>
      <c r="C12" s="22"/>
      <c r="D12" s="22" t="s">
        <v>41</v>
      </c>
      <c r="E12" s="23" t="s">
        <v>68</v>
      </c>
      <c r="F12" s="23" t="s">
        <v>68</v>
      </c>
      <c r="G12" s="24" t="s">
        <v>34</v>
      </c>
      <c r="H12" s="67" t="s">
        <v>376</v>
      </c>
      <c r="I12" s="25" t="s">
        <v>354</v>
      </c>
      <c r="J12" s="22"/>
    </row>
    <row r="13" spans="1:10" ht="92.4" customHeight="1">
      <c r="A13" s="20" t="s">
        <v>185</v>
      </c>
      <c r="B13" s="21" t="s">
        <v>80</v>
      </c>
      <c r="C13" s="22"/>
      <c r="D13" s="22" t="s">
        <v>41</v>
      </c>
      <c r="E13" s="23" t="s">
        <v>81</v>
      </c>
      <c r="F13" s="23" t="s">
        <v>81</v>
      </c>
      <c r="G13" s="24" t="s">
        <v>34</v>
      </c>
      <c r="H13" s="67" t="s">
        <v>376</v>
      </c>
      <c r="I13" s="25" t="s">
        <v>354</v>
      </c>
      <c r="J13" s="22"/>
    </row>
    <row r="14" spans="1:10" ht="33.6">
      <c r="A14" s="20" t="s">
        <v>186</v>
      </c>
      <c r="B14" s="21" t="s">
        <v>82</v>
      </c>
      <c r="C14" s="22"/>
      <c r="D14" s="22" t="s">
        <v>41</v>
      </c>
      <c r="E14" s="23" t="s">
        <v>83</v>
      </c>
      <c r="F14" s="23" t="s">
        <v>84</v>
      </c>
      <c r="G14" s="24" t="s">
        <v>34</v>
      </c>
      <c r="H14" s="67" t="s">
        <v>376</v>
      </c>
      <c r="I14" s="25" t="s">
        <v>354</v>
      </c>
      <c r="J14" s="22"/>
    </row>
    <row r="15" spans="1:10" ht="50.4">
      <c r="A15" s="20" t="s">
        <v>187</v>
      </c>
      <c r="B15" s="21" t="s">
        <v>99</v>
      </c>
      <c r="C15" s="22"/>
      <c r="D15" s="22" t="s">
        <v>41</v>
      </c>
      <c r="E15" s="23" t="s">
        <v>101</v>
      </c>
      <c r="F15" s="23" t="s">
        <v>100</v>
      </c>
      <c r="G15" s="24" t="s">
        <v>34</v>
      </c>
      <c r="H15" s="67" t="s">
        <v>376</v>
      </c>
      <c r="I15" s="25" t="s">
        <v>354</v>
      </c>
      <c r="J15" s="22"/>
    </row>
    <row r="16" spans="1:10" ht="33.6">
      <c r="A16" s="20" t="s">
        <v>188</v>
      </c>
      <c r="B16" s="21" t="s">
        <v>107</v>
      </c>
      <c r="C16" s="22"/>
      <c r="D16" s="22" t="s">
        <v>41</v>
      </c>
      <c r="E16" s="23" t="s">
        <v>87</v>
      </c>
      <c r="F16" s="23" t="s">
        <v>87</v>
      </c>
      <c r="G16" s="24" t="s">
        <v>34</v>
      </c>
      <c r="H16" s="67" t="s">
        <v>376</v>
      </c>
      <c r="I16" s="25" t="s">
        <v>354</v>
      </c>
      <c r="J16" s="22"/>
    </row>
    <row r="17" spans="1:10" ht="33.6">
      <c r="A17" s="20" t="s">
        <v>189</v>
      </c>
      <c r="B17" s="21" t="s">
        <v>89</v>
      </c>
      <c r="C17" s="22"/>
      <c r="D17" s="38" t="s">
        <v>90</v>
      </c>
      <c r="E17" s="23" t="s">
        <v>91</v>
      </c>
      <c r="F17" s="23" t="s">
        <v>91</v>
      </c>
      <c r="G17" s="24" t="s">
        <v>34</v>
      </c>
      <c r="H17" s="67" t="s">
        <v>376</v>
      </c>
      <c r="I17" s="25" t="s">
        <v>354</v>
      </c>
      <c r="J17" s="22"/>
    </row>
    <row r="18" spans="1:10" ht="33.6">
      <c r="A18" s="20" t="s">
        <v>190</v>
      </c>
      <c r="B18" s="21" t="s">
        <v>92</v>
      </c>
      <c r="C18" s="22"/>
      <c r="D18" s="38" t="s">
        <v>95</v>
      </c>
      <c r="E18" s="23" t="s">
        <v>94</v>
      </c>
      <c r="F18" s="23" t="s">
        <v>94</v>
      </c>
      <c r="G18" s="24" t="s">
        <v>34</v>
      </c>
      <c r="H18" s="67" t="s">
        <v>376</v>
      </c>
      <c r="I18" s="25" t="s">
        <v>354</v>
      </c>
      <c r="J18" s="22"/>
    </row>
    <row r="19" spans="1:10" ht="16.8">
      <c r="A19" s="88" t="s">
        <v>108</v>
      </c>
      <c r="B19" s="89"/>
      <c r="C19" s="89"/>
      <c r="D19" s="89"/>
      <c r="E19" s="89"/>
      <c r="F19" s="89"/>
      <c r="G19" s="89"/>
      <c r="H19" s="89"/>
      <c r="I19" s="89"/>
      <c r="J19" s="90"/>
    </row>
    <row r="20" spans="1:10" ht="50.4">
      <c r="A20" s="31" t="s">
        <v>191</v>
      </c>
      <c r="B20" s="32" t="s">
        <v>102</v>
      </c>
      <c r="C20" s="32" t="s">
        <v>54</v>
      </c>
      <c r="D20" s="33" t="s">
        <v>41</v>
      </c>
      <c r="E20" s="36" t="s">
        <v>55</v>
      </c>
      <c r="F20" s="36" t="s">
        <v>55</v>
      </c>
      <c r="G20" s="34" t="s">
        <v>34</v>
      </c>
      <c r="H20" s="67" t="s">
        <v>376</v>
      </c>
      <c r="I20" s="25" t="s">
        <v>354</v>
      </c>
      <c r="J20" s="33"/>
    </row>
    <row r="21" spans="1:10" ht="84">
      <c r="A21" s="31" t="s">
        <v>192</v>
      </c>
      <c r="B21" s="32" t="s">
        <v>103</v>
      </c>
      <c r="C21" s="32" t="s">
        <v>51</v>
      </c>
      <c r="D21" s="33" t="s">
        <v>41</v>
      </c>
      <c r="E21" s="36" t="s">
        <v>52</v>
      </c>
      <c r="F21" s="36" t="s">
        <v>52</v>
      </c>
      <c r="G21" s="34" t="s">
        <v>34</v>
      </c>
      <c r="H21" s="67" t="s">
        <v>376</v>
      </c>
      <c r="I21" s="25" t="s">
        <v>354</v>
      </c>
      <c r="J21" s="33"/>
    </row>
    <row r="22" spans="1:10" ht="84">
      <c r="A22" s="31" t="s">
        <v>193</v>
      </c>
      <c r="B22" s="32" t="s">
        <v>104</v>
      </c>
      <c r="C22" s="32" t="s">
        <v>96</v>
      </c>
      <c r="D22" s="33" t="s">
        <v>41</v>
      </c>
      <c r="E22" s="36" t="s">
        <v>97</v>
      </c>
      <c r="F22" s="36" t="s">
        <v>52</v>
      </c>
      <c r="G22" s="34" t="s">
        <v>34</v>
      </c>
      <c r="H22" s="67" t="s">
        <v>376</v>
      </c>
      <c r="I22" s="25" t="s">
        <v>354</v>
      </c>
      <c r="J22" s="33"/>
    </row>
    <row r="23" spans="1:10" ht="81" customHeight="1">
      <c r="A23" s="31" t="s">
        <v>194</v>
      </c>
      <c r="B23" s="32" t="s">
        <v>105</v>
      </c>
      <c r="C23" s="32" t="s">
        <v>98</v>
      </c>
      <c r="D23" s="33" t="s">
        <v>41</v>
      </c>
      <c r="E23" s="36" t="s">
        <v>52</v>
      </c>
      <c r="F23" s="36" t="s">
        <v>52</v>
      </c>
      <c r="G23" s="34" t="s">
        <v>34</v>
      </c>
      <c r="H23" s="67" t="s">
        <v>376</v>
      </c>
      <c r="I23" s="25" t="s">
        <v>354</v>
      </c>
      <c r="J23" s="33"/>
    </row>
    <row r="24" spans="1:10" ht="30" customHeight="1">
      <c r="A24" s="31" t="s">
        <v>195</v>
      </c>
      <c r="B24" s="21" t="s">
        <v>109</v>
      </c>
      <c r="C24" s="21"/>
      <c r="D24" s="22" t="s">
        <v>41</v>
      </c>
      <c r="E24" s="26" t="s">
        <v>111</v>
      </c>
      <c r="F24" s="26" t="s">
        <v>111</v>
      </c>
      <c r="G24" s="24" t="s">
        <v>34</v>
      </c>
      <c r="H24" s="67" t="s">
        <v>376</v>
      </c>
      <c r="I24" s="25" t="s">
        <v>354</v>
      </c>
      <c r="J24" s="33"/>
    </row>
    <row r="25" spans="1:10" ht="50.4">
      <c r="A25" s="31" t="s">
        <v>196</v>
      </c>
      <c r="B25" s="28" t="s">
        <v>112</v>
      </c>
      <c r="C25" s="28" t="s">
        <v>110</v>
      </c>
      <c r="D25" s="29" t="s">
        <v>41</v>
      </c>
      <c r="E25" s="35" t="s">
        <v>113</v>
      </c>
      <c r="F25" s="35" t="s">
        <v>113</v>
      </c>
      <c r="G25" s="30" t="s">
        <v>34</v>
      </c>
      <c r="H25" s="67" t="s">
        <v>376</v>
      </c>
      <c r="I25" s="25" t="s">
        <v>354</v>
      </c>
      <c r="J25" s="33"/>
    </row>
  </sheetData>
  <mergeCells count="13">
    <mergeCell ref="J6:J8"/>
    <mergeCell ref="G7:I7"/>
    <mergeCell ref="A9:J9"/>
    <mergeCell ref="A19:J19"/>
    <mergeCell ref="B1:F1"/>
    <mergeCell ref="B2:F2"/>
    <mergeCell ref="A6:A8"/>
    <mergeCell ref="B6:B8"/>
    <mergeCell ref="C6:C8"/>
    <mergeCell ref="D6:D8"/>
    <mergeCell ref="E6:E8"/>
    <mergeCell ref="F6:F8"/>
    <mergeCell ref="G6:I6"/>
  </mergeCells>
  <dataValidations disablePrompts="1" count="1">
    <dataValidation type="list" operator="equal" allowBlank="1" showErrorMessage="1" promptTitle="dfdf" sqref="G20:G25 G10:G18">
      <formula1>"Passed,Untested,Failed,Blocked"</formula1>
      <formula2>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J27"/>
  <sheetViews>
    <sheetView zoomScale="80" workbookViewId="0">
      <selection activeCell="G16" sqref="G16:G27"/>
    </sheetView>
  </sheetViews>
  <sheetFormatPr defaultRowHeight="14.4"/>
  <cols>
    <col min="1" max="1" width="17.88671875" customWidth="1"/>
    <col min="2" max="2" width="31.77734375" customWidth="1"/>
    <col min="3" max="3" width="36.5546875" customWidth="1"/>
    <col min="4" max="4" width="25.44140625" customWidth="1"/>
    <col min="5" max="5" width="32.5546875" customWidth="1"/>
    <col min="6" max="6" width="35.6640625" customWidth="1"/>
    <col min="8" max="8" width="14.33203125" style="68" customWidth="1"/>
  </cols>
  <sheetData>
    <row r="1" spans="1:10" ht="35.4" customHeight="1">
      <c r="A1" s="6" t="s">
        <v>13</v>
      </c>
      <c r="B1" s="79" t="s">
        <v>360</v>
      </c>
      <c r="C1" s="80"/>
      <c r="D1" s="80"/>
      <c r="E1" s="80"/>
      <c r="F1" s="81"/>
      <c r="G1" s="7"/>
      <c r="H1" s="66"/>
      <c r="I1" s="9"/>
      <c r="J1" s="9"/>
    </row>
    <row r="2" spans="1:10" ht="21">
      <c r="A2" s="6" t="s">
        <v>14</v>
      </c>
      <c r="B2" s="97" t="s">
        <v>181</v>
      </c>
      <c r="C2" s="98"/>
      <c r="D2" s="98"/>
      <c r="E2" s="98"/>
      <c r="F2" s="98"/>
      <c r="G2" s="7"/>
      <c r="H2" s="66"/>
      <c r="I2" s="9"/>
      <c r="J2" s="9"/>
    </row>
    <row r="3" spans="1:10" ht="16.5" customHeight="1">
      <c r="A3" s="10"/>
      <c r="B3" s="11" t="s">
        <v>15</v>
      </c>
      <c r="C3" s="11" t="s">
        <v>16</v>
      </c>
      <c r="D3" s="11" t="s">
        <v>17</v>
      </c>
      <c r="E3" s="11" t="s">
        <v>18</v>
      </c>
      <c r="F3" s="11" t="s">
        <v>19</v>
      </c>
      <c r="G3" s="7"/>
      <c r="H3" s="66"/>
      <c r="I3" s="9"/>
      <c r="J3" s="9"/>
    </row>
    <row r="4" spans="1:10" ht="16.8">
      <c r="A4" s="12" t="s">
        <v>20</v>
      </c>
      <c r="B4" s="13">
        <f>COUNTIF(G1:G50,"Passed")</f>
        <v>17</v>
      </c>
      <c r="C4" s="13">
        <f>COUNTIF(G1:G50,"Error")</f>
        <v>0</v>
      </c>
      <c r="D4" s="10">
        <f>COUNTIF(G1:G50,"Untested")</f>
        <v>0</v>
      </c>
      <c r="E4" s="14">
        <f>COUNTIF(G10:G21,"Blocked")</f>
        <v>0</v>
      </c>
      <c r="F4" s="10">
        <f>SUM(B4,C4,D4)</f>
        <v>17</v>
      </c>
      <c r="G4" s="7"/>
      <c r="H4" s="66"/>
      <c r="I4" s="9"/>
      <c r="J4" s="9"/>
    </row>
    <row r="5" spans="1:10" ht="409.5" customHeight="1">
      <c r="A5" s="15"/>
      <c r="B5" s="16"/>
      <c r="C5" s="9"/>
      <c r="D5" s="9"/>
      <c r="E5" s="17"/>
      <c r="F5" s="9"/>
      <c r="G5" s="7"/>
      <c r="H5" s="66"/>
      <c r="I5" s="9"/>
      <c r="J5" s="9"/>
    </row>
    <row r="6" spans="1:10" ht="16.8" customHeight="1">
      <c r="A6" s="85" t="s">
        <v>21</v>
      </c>
      <c r="B6" s="85" t="s">
        <v>5</v>
      </c>
      <c r="C6" s="85" t="s">
        <v>22</v>
      </c>
      <c r="D6" s="85" t="s">
        <v>23</v>
      </c>
      <c r="E6" s="85" t="s">
        <v>24</v>
      </c>
      <c r="F6" s="85" t="s">
        <v>25</v>
      </c>
      <c r="G6" s="91" t="s">
        <v>26</v>
      </c>
      <c r="H6" s="92"/>
      <c r="I6" s="93"/>
      <c r="J6" s="85" t="s">
        <v>27</v>
      </c>
    </row>
    <row r="7" spans="1:10" ht="16.8">
      <c r="A7" s="86"/>
      <c r="B7" s="86"/>
      <c r="C7" s="86"/>
      <c r="D7" s="86"/>
      <c r="E7" s="86"/>
      <c r="F7" s="86"/>
      <c r="G7" s="91" t="s">
        <v>28</v>
      </c>
      <c r="H7" s="92"/>
      <c r="I7" s="93"/>
      <c r="J7" s="86"/>
    </row>
    <row r="8" spans="1:10" ht="50.4">
      <c r="A8" s="87"/>
      <c r="B8" s="87"/>
      <c r="C8" s="87"/>
      <c r="D8" s="87"/>
      <c r="E8" s="87"/>
      <c r="F8" s="87"/>
      <c r="G8" s="18" t="s">
        <v>29</v>
      </c>
      <c r="H8" s="65" t="s">
        <v>30</v>
      </c>
      <c r="I8" s="11" t="s">
        <v>31</v>
      </c>
      <c r="J8" s="87"/>
    </row>
    <row r="9" spans="1:10" ht="16.8">
      <c r="A9" s="94" t="s">
        <v>114</v>
      </c>
      <c r="B9" s="95"/>
      <c r="C9" s="95"/>
      <c r="D9" s="95"/>
      <c r="E9" s="95"/>
      <c r="F9" s="95"/>
      <c r="G9" s="95"/>
      <c r="H9" s="95"/>
      <c r="I9" s="95"/>
      <c r="J9" s="96"/>
    </row>
    <row r="10" spans="1:10" ht="92.4" customHeight="1">
      <c r="A10" s="20" t="s">
        <v>164</v>
      </c>
      <c r="B10" s="21" t="s">
        <v>115</v>
      </c>
      <c r="C10" s="38" t="s">
        <v>122</v>
      </c>
      <c r="D10" s="38" t="s">
        <v>116</v>
      </c>
      <c r="E10" s="23" t="s">
        <v>117</v>
      </c>
      <c r="F10" s="23" t="s">
        <v>117</v>
      </c>
      <c r="G10" s="24" t="s">
        <v>34</v>
      </c>
      <c r="H10" s="67" t="s">
        <v>376</v>
      </c>
      <c r="I10" s="25" t="s">
        <v>62</v>
      </c>
      <c r="J10" s="22"/>
    </row>
    <row r="11" spans="1:10" ht="33.6">
      <c r="A11" s="20" t="s">
        <v>165</v>
      </c>
      <c r="B11" s="21" t="s">
        <v>118</v>
      </c>
      <c r="C11" s="22"/>
      <c r="D11" s="38" t="s">
        <v>116</v>
      </c>
      <c r="E11" s="23" t="s">
        <v>119</v>
      </c>
      <c r="F11" s="23" t="s">
        <v>119</v>
      </c>
      <c r="G11" s="24" t="s">
        <v>34</v>
      </c>
      <c r="H11" s="67" t="s">
        <v>376</v>
      </c>
      <c r="I11" s="25" t="s">
        <v>62</v>
      </c>
      <c r="J11" s="22"/>
    </row>
    <row r="12" spans="1:10" ht="33" customHeight="1">
      <c r="A12" s="20" t="s">
        <v>166</v>
      </c>
      <c r="B12" s="21" t="s">
        <v>123</v>
      </c>
      <c r="C12" s="22"/>
      <c r="D12" s="38" t="s">
        <v>116</v>
      </c>
      <c r="E12" s="23" t="s">
        <v>119</v>
      </c>
      <c r="F12" s="23" t="s">
        <v>119</v>
      </c>
      <c r="G12" s="24" t="s">
        <v>34</v>
      </c>
      <c r="H12" s="67" t="s">
        <v>376</v>
      </c>
      <c r="I12" s="25" t="s">
        <v>62</v>
      </c>
      <c r="J12" s="22"/>
    </row>
    <row r="13" spans="1:10" ht="33" customHeight="1">
      <c r="A13" s="20" t="s">
        <v>167</v>
      </c>
      <c r="B13" s="21" t="s">
        <v>124</v>
      </c>
      <c r="C13" s="22"/>
      <c r="D13" s="38" t="s">
        <v>116</v>
      </c>
      <c r="E13" s="23" t="s">
        <v>119</v>
      </c>
      <c r="F13" s="23" t="s">
        <v>119</v>
      </c>
      <c r="G13" s="24" t="s">
        <v>34</v>
      </c>
      <c r="H13" s="67" t="s">
        <v>376</v>
      </c>
      <c r="I13" s="25" t="s">
        <v>62</v>
      </c>
      <c r="J13" s="22"/>
    </row>
    <row r="14" spans="1:10" ht="33" customHeight="1">
      <c r="A14" s="20" t="s">
        <v>168</v>
      </c>
      <c r="B14" s="21" t="s">
        <v>125</v>
      </c>
      <c r="C14" s="22"/>
      <c r="D14" s="38" t="s">
        <v>116</v>
      </c>
      <c r="E14" s="23" t="s">
        <v>126</v>
      </c>
      <c r="F14" s="23" t="s">
        <v>126</v>
      </c>
      <c r="G14" s="24" t="s">
        <v>34</v>
      </c>
      <c r="H14" s="67" t="s">
        <v>376</v>
      </c>
      <c r="I14" s="25" t="s">
        <v>62</v>
      </c>
      <c r="J14" s="22"/>
    </row>
    <row r="15" spans="1:10" ht="16.8">
      <c r="A15" s="88" t="s">
        <v>120</v>
      </c>
      <c r="B15" s="89"/>
      <c r="C15" s="89"/>
      <c r="D15" s="89"/>
      <c r="E15" s="89"/>
      <c r="F15" s="89"/>
      <c r="G15" s="89"/>
      <c r="H15" s="89"/>
      <c r="I15" s="89"/>
      <c r="J15" s="90"/>
    </row>
    <row r="16" spans="1:10" ht="49.2" customHeight="1">
      <c r="A16" s="21" t="s">
        <v>169</v>
      </c>
      <c r="B16" s="21" t="s">
        <v>121</v>
      </c>
      <c r="C16" s="21" t="s">
        <v>129</v>
      </c>
      <c r="D16" s="22" t="s">
        <v>41</v>
      </c>
      <c r="E16" s="26" t="s">
        <v>130</v>
      </c>
      <c r="F16" s="26" t="s">
        <v>130</v>
      </c>
      <c r="G16" s="24" t="s">
        <v>34</v>
      </c>
      <c r="H16" s="67" t="s">
        <v>376</v>
      </c>
      <c r="I16" s="25" t="s">
        <v>62</v>
      </c>
      <c r="J16" s="22"/>
    </row>
    <row r="17" spans="1:10" ht="50.4">
      <c r="A17" s="21" t="s">
        <v>170</v>
      </c>
      <c r="B17" s="28" t="s">
        <v>131</v>
      </c>
      <c r="C17" s="28" t="s">
        <v>132</v>
      </c>
      <c r="D17" s="29" t="s">
        <v>41</v>
      </c>
      <c r="E17" s="35" t="s">
        <v>133</v>
      </c>
      <c r="F17" s="35" t="s">
        <v>133</v>
      </c>
      <c r="G17" s="24" t="s">
        <v>34</v>
      </c>
      <c r="H17" s="67" t="s">
        <v>376</v>
      </c>
      <c r="I17" s="25" t="s">
        <v>62</v>
      </c>
      <c r="J17" s="29"/>
    </row>
    <row r="18" spans="1:10" ht="33.6">
      <c r="A18" s="21" t="s">
        <v>171</v>
      </c>
      <c r="B18" s="32" t="s">
        <v>134</v>
      </c>
      <c r="C18" s="32" t="s">
        <v>135</v>
      </c>
      <c r="D18" s="33" t="s">
        <v>41</v>
      </c>
      <c r="E18" s="36" t="s">
        <v>136</v>
      </c>
      <c r="F18" s="36" t="s">
        <v>136</v>
      </c>
      <c r="G18" s="24" t="s">
        <v>34</v>
      </c>
      <c r="H18" s="67" t="s">
        <v>376</v>
      </c>
      <c r="I18" s="25" t="s">
        <v>62</v>
      </c>
      <c r="J18" s="33"/>
    </row>
    <row r="19" spans="1:10" ht="33.6">
      <c r="A19" s="21" t="s">
        <v>172</v>
      </c>
      <c r="B19" s="32" t="s">
        <v>137</v>
      </c>
      <c r="C19" s="32" t="s">
        <v>141</v>
      </c>
      <c r="D19" s="33" t="s">
        <v>41</v>
      </c>
      <c r="E19" s="36" t="s">
        <v>138</v>
      </c>
      <c r="F19" s="36" t="s">
        <v>138</v>
      </c>
      <c r="G19" s="24" t="s">
        <v>34</v>
      </c>
      <c r="H19" s="67" t="s">
        <v>376</v>
      </c>
      <c r="I19" s="25" t="s">
        <v>62</v>
      </c>
      <c r="J19" s="33"/>
    </row>
    <row r="20" spans="1:10" ht="45.6" customHeight="1">
      <c r="A20" s="21" t="s">
        <v>173</v>
      </c>
      <c r="B20" s="32" t="s">
        <v>139</v>
      </c>
      <c r="C20" s="32" t="s">
        <v>142</v>
      </c>
      <c r="D20" s="33" t="s">
        <v>41</v>
      </c>
      <c r="E20" s="36" t="s">
        <v>140</v>
      </c>
      <c r="F20" s="36" t="s">
        <v>140</v>
      </c>
      <c r="G20" s="24" t="s">
        <v>34</v>
      </c>
      <c r="H20" s="67" t="s">
        <v>376</v>
      </c>
      <c r="I20" s="25" t="s">
        <v>62</v>
      </c>
      <c r="J20" s="33"/>
    </row>
    <row r="21" spans="1:10" ht="67.2">
      <c r="A21" s="21" t="s">
        <v>174</v>
      </c>
      <c r="B21" s="32" t="s">
        <v>143</v>
      </c>
      <c r="C21" s="32" t="s">
        <v>148</v>
      </c>
      <c r="D21" s="22" t="s">
        <v>41</v>
      </c>
      <c r="E21" s="36" t="s">
        <v>144</v>
      </c>
      <c r="F21" s="36" t="s">
        <v>144</v>
      </c>
      <c r="G21" s="24" t="s">
        <v>34</v>
      </c>
      <c r="H21" s="67" t="s">
        <v>376</v>
      </c>
      <c r="I21" s="25" t="s">
        <v>62</v>
      </c>
      <c r="J21" s="33"/>
    </row>
    <row r="22" spans="1:10" ht="50.4">
      <c r="A22" s="21" t="s">
        <v>175</v>
      </c>
      <c r="B22" s="32" t="s">
        <v>145</v>
      </c>
      <c r="C22" s="32" t="s">
        <v>147</v>
      </c>
      <c r="D22" s="29" t="s">
        <v>41</v>
      </c>
      <c r="E22" s="36" t="s">
        <v>150</v>
      </c>
      <c r="F22" s="36" t="s">
        <v>150</v>
      </c>
      <c r="G22" s="24" t="s">
        <v>34</v>
      </c>
      <c r="H22" s="67" t="s">
        <v>376</v>
      </c>
      <c r="I22" s="25" t="s">
        <v>62</v>
      </c>
      <c r="J22" s="33"/>
    </row>
    <row r="23" spans="1:10" ht="50.4">
      <c r="A23" s="21" t="s">
        <v>176</v>
      </c>
      <c r="B23" s="32" t="s">
        <v>146</v>
      </c>
      <c r="C23" s="32" t="s">
        <v>149</v>
      </c>
      <c r="D23" s="33" t="s">
        <v>41</v>
      </c>
      <c r="E23" s="36" t="s">
        <v>153</v>
      </c>
      <c r="F23" s="36" t="s">
        <v>153</v>
      </c>
      <c r="G23" s="24" t="s">
        <v>34</v>
      </c>
      <c r="H23" s="67" t="s">
        <v>376</v>
      </c>
      <c r="I23" s="25" t="s">
        <v>62</v>
      </c>
      <c r="J23" s="33"/>
    </row>
    <row r="24" spans="1:10" ht="50.4">
      <c r="A24" s="21" t="s">
        <v>177</v>
      </c>
      <c r="B24" s="32" t="s">
        <v>151</v>
      </c>
      <c r="C24" s="32" t="s">
        <v>152</v>
      </c>
      <c r="D24" s="33" t="s">
        <v>41</v>
      </c>
      <c r="E24" s="36" t="s">
        <v>154</v>
      </c>
      <c r="F24" s="36" t="s">
        <v>154</v>
      </c>
      <c r="G24" s="24" t="s">
        <v>34</v>
      </c>
      <c r="H24" s="67" t="s">
        <v>376</v>
      </c>
      <c r="I24" s="25" t="s">
        <v>62</v>
      </c>
      <c r="J24" s="33"/>
    </row>
    <row r="25" spans="1:10" ht="78" customHeight="1">
      <c r="A25" s="21" t="s">
        <v>178</v>
      </c>
      <c r="B25" s="32" t="s">
        <v>155</v>
      </c>
      <c r="C25" s="32" t="s">
        <v>156</v>
      </c>
      <c r="D25" s="33" t="s">
        <v>41</v>
      </c>
      <c r="E25" s="36" t="s">
        <v>157</v>
      </c>
      <c r="F25" s="36" t="s">
        <v>157</v>
      </c>
      <c r="G25" s="24" t="s">
        <v>34</v>
      </c>
      <c r="H25" s="67" t="s">
        <v>376</v>
      </c>
      <c r="I25" s="25" t="s">
        <v>62</v>
      </c>
      <c r="J25" s="33"/>
    </row>
    <row r="26" spans="1:10" ht="84">
      <c r="A26" s="21" t="s">
        <v>179</v>
      </c>
      <c r="B26" s="32" t="s">
        <v>158</v>
      </c>
      <c r="C26" s="32" t="s">
        <v>159</v>
      </c>
      <c r="D26" s="33" t="s">
        <v>41</v>
      </c>
      <c r="E26" s="36" t="s">
        <v>160</v>
      </c>
      <c r="F26" s="36" t="s">
        <v>160</v>
      </c>
      <c r="G26" s="24" t="s">
        <v>34</v>
      </c>
      <c r="H26" s="67" t="s">
        <v>376</v>
      </c>
      <c r="I26" s="25" t="s">
        <v>62</v>
      </c>
      <c r="J26" s="33"/>
    </row>
    <row r="27" spans="1:10" ht="50.4">
      <c r="A27" s="21" t="s">
        <v>180</v>
      </c>
      <c r="B27" s="32" t="s">
        <v>161</v>
      </c>
      <c r="C27" s="32" t="s">
        <v>162</v>
      </c>
      <c r="D27" s="33" t="s">
        <v>41</v>
      </c>
      <c r="E27" s="36" t="s">
        <v>163</v>
      </c>
      <c r="F27" s="36" t="s">
        <v>163</v>
      </c>
      <c r="G27" s="24" t="s">
        <v>34</v>
      </c>
      <c r="H27" s="67" t="s">
        <v>376</v>
      </c>
      <c r="I27" s="25" t="s">
        <v>62</v>
      </c>
      <c r="J27" s="33"/>
    </row>
  </sheetData>
  <mergeCells count="13">
    <mergeCell ref="B1:F1"/>
    <mergeCell ref="B2:F2"/>
    <mergeCell ref="A6:A8"/>
    <mergeCell ref="B6:B8"/>
    <mergeCell ref="C6:C8"/>
    <mergeCell ref="D6:D8"/>
    <mergeCell ref="E6:E8"/>
    <mergeCell ref="F6:F8"/>
    <mergeCell ref="G6:I6"/>
    <mergeCell ref="J6:J8"/>
    <mergeCell ref="G7:I7"/>
    <mergeCell ref="A9:J9"/>
    <mergeCell ref="A15:J15"/>
  </mergeCells>
  <dataValidations count="1">
    <dataValidation type="list" operator="equal" allowBlank="1" showErrorMessage="1" promptTitle="dfdf" sqref="G10:G14 G16:G27">
      <formula1>"Passed,Untested,Failed,Blocked"</formula1>
      <formula2>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J16"/>
  <sheetViews>
    <sheetView zoomScale="80" zoomScaleNormal="80" workbookViewId="0">
      <selection activeCell="A4" sqref="A4:XFD4"/>
    </sheetView>
  </sheetViews>
  <sheetFormatPr defaultRowHeight="14.4"/>
  <cols>
    <col min="1" max="1" width="18.109375" customWidth="1"/>
    <col min="2" max="2" width="32.109375" customWidth="1"/>
    <col min="3" max="3" width="34.6640625" customWidth="1"/>
    <col min="4" max="4" width="25.44140625" customWidth="1"/>
    <col min="5" max="5" width="32.5546875" customWidth="1"/>
    <col min="6" max="6" width="35.6640625" customWidth="1"/>
    <col min="8" max="8" width="14.33203125" style="42" customWidth="1"/>
  </cols>
  <sheetData>
    <row r="1" spans="1:10" ht="47.4" customHeight="1">
      <c r="A1" s="6" t="s">
        <v>13</v>
      </c>
      <c r="B1" s="79" t="s">
        <v>360</v>
      </c>
      <c r="C1" s="80"/>
      <c r="D1" s="80"/>
      <c r="E1" s="80"/>
      <c r="F1" s="81"/>
      <c r="G1" s="7"/>
      <c r="H1" s="69"/>
      <c r="I1" s="9"/>
      <c r="J1" s="9"/>
    </row>
    <row r="2" spans="1:10" ht="21" customHeight="1">
      <c r="A2" s="6" t="s">
        <v>14</v>
      </c>
      <c r="B2" s="97" t="s">
        <v>323</v>
      </c>
      <c r="C2" s="98"/>
      <c r="D2" s="98"/>
      <c r="E2" s="98"/>
      <c r="F2" s="98"/>
      <c r="G2" s="7"/>
      <c r="H2" s="69"/>
      <c r="I2" s="9"/>
      <c r="J2" s="9"/>
    </row>
    <row r="3" spans="1:10" ht="16.5" customHeight="1">
      <c r="A3" s="10"/>
      <c r="B3" s="11" t="s">
        <v>15</v>
      </c>
      <c r="C3" s="11" t="s">
        <v>16</v>
      </c>
      <c r="D3" s="11" t="s">
        <v>17</v>
      </c>
      <c r="E3" s="11" t="s">
        <v>18</v>
      </c>
      <c r="F3" s="11" t="s">
        <v>19</v>
      </c>
      <c r="G3" s="7"/>
      <c r="H3" s="69"/>
      <c r="I3" s="9"/>
      <c r="J3" s="9"/>
    </row>
    <row r="4" spans="1:10" ht="16.8">
      <c r="A4" s="12" t="s">
        <v>20</v>
      </c>
      <c r="B4" s="13">
        <f>COUNTIF(G1:G50,"Passed")</f>
        <v>6</v>
      </c>
      <c r="C4" s="13">
        <f>COUNTIF(G1:G50,"Error")</f>
        <v>0</v>
      </c>
      <c r="D4" s="10">
        <f>COUNTIF(G1:G50,"Untested")</f>
        <v>0</v>
      </c>
      <c r="E4" s="14">
        <f>COUNTIF(G10:G23,"Blocked")</f>
        <v>0</v>
      </c>
      <c r="F4" s="10">
        <f>SUM(B4,C4,D4)</f>
        <v>6</v>
      </c>
      <c r="G4" s="7"/>
      <c r="H4" s="69"/>
      <c r="I4" s="9"/>
      <c r="J4" s="9"/>
    </row>
    <row r="5" spans="1:10" ht="409.5" customHeight="1">
      <c r="A5" s="15"/>
      <c r="B5" s="16"/>
      <c r="C5" s="9"/>
      <c r="D5" s="9"/>
      <c r="E5" s="17"/>
      <c r="F5" s="9"/>
      <c r="G5" s="7"/>
      <c r="H5" s="69"/>
      <c r="I5" s="9"/>
      <c r="J5" s="9"/>
    </row>
    <row r="6" spans="1:10" ht="16.8" customHeight="1">
      <c r="A6" s="85" t="s">
        <v>21</v>
      </c>
      <c r="B6" s="85" t="s">
        <v>5</v>
      </c>
      <c r="C6" s="85" t="s">
        <v>22</v>
      </c>
      <c r="D6" s="85" t="s">
        <v>23</v>
      </c>
      <c r="E6" s="85" t="s">
        <v>24</v>
      </c>
      <c r="F6" s="85" t="s">
        <v>25</v>
      </c>
      <c r="G6" s="91" t="s">
        <v>26</v>
      </c>
      <c r="H6" s="92"/>
      <c r="I6" s="93"/>
      <c r="J6" s="85" t="s">
        <v>27</v>
      </c>
    </row>
    <row r="7" spans="1:10" ht="16.8">
      <c r="A7" s="86"/>
      <c r="B7" s="86"/>
      <c r="C7" s="86"/>
      <c r="D7" s="86"/>
      <c r="E7" s="86"/>
      <c r="F7" s="86"/>
      <c r="G7" s="91" t="s">
        <v>28</v>
      </c>
      <c r="H7" s="92"/>
      <c r="I7" s="93"/>
      <c r="J7" s="86"/>
    </row>
    <row r="8" spans="1:10" ht="50.4">
      <c r="A8" s="87"/>
      <c r="B8" s="87"/>
      <c r="C8" s="87"/>
      <c r="D8" s="87"/>
      <c r="E8" s="87"/>
      <c r="F8" s="87"/>
      <c r="G8" s="18" t="s">
        <v>29</v>
      </c>
      <c r="H8" s="19" t="s">
        <v>30</v>
      </c>
      <c r="I8" s="11" t="s">
        <v>31</v>
      </c>
      <c r="J8" s="87"/>
    </row>
    <row r="9" spans="1:10" ht="16.8">
      <c r="A9" s="94" t="s">
        <v>324</v>
      </c>
      <c r="B9" s="95"/>
      <c r="C9" s="95"/>
      <c r="D9" s="95"/>
      <c r="E9" s="95"/>
      <c r="F9" s="95"/>
      <c r="G9" s="95"/>
      <c r="H9" s="95"/>
      <c r="I9" s="95"/>
      <c r="J9" s="96"/>
    </row>
    <row r="10" spans="1:10" ht="92.4" customHeight="1">
      <c r="A10" s="20" t="s">
        <v>329</v>
      </c>
      <c r="B10" s="21" t="s">
        <v>198</v>
      </c>
      <c r="C10" s="38" t="s">
        <v>326</v>
      </c>
      <c r="D10" s="38"/>
      <c r="E10" s="23" t="s">
        <v>327</v>
      </c>
      <c r="F10" s="23" t="s">
        <v>327</v>
      </c>
      <c r="G10" s="24" t="s">
        <v>34</v>
      </c>
      <c r="H10" s="67" t="s">
        <v>377</v>
      </c>
      <c r="I10" s="25" t="s">
        <v>355</v>
      </c>
      <c r="J10" s="22"/>
    </row>
    <row r="11" spans="1:10" ht="33.6">
      <c r="A11" s="20" t="s">
        <v>330</v>
      </c>
      <c r="B11" s="21" t="s">
        <v>89</v>
      </c>
      <c r="C11" s="22"/>
      <c r="D11" s="38" t="s">
        <v>326</v>
      </c>
      <c r="E11" s="23" t="s">
        <v>328</v>
      </c>
      <c r="F11" s="23" t="s">
        <v>328</v>
      </c>
      <c r="G11" s="24" t="s">
        <v>34</v>
      </c>
      <c r="H11" s="67" t="s">
        <v>377</v>
      </c>
      <c r="I11" s="25" t="s">
        <v>355</v>
      </c>
      <c r="J11" s="22"/>
    </row>
    <row r="12" spans="1:10" ht="16.8">
      <c r="A12" s="88" t="s">
        <v>325</v>
      </c>
      <c r="B12" s="89"/>
      <c r="C12" s="89"/>
      <c r="D12" s="89"/>
      <c r="E12" s="89"/>
      <c r="F12" s="89"/>
      <c r="G12" s="89"/>
      <c r="H12" s="89"/>
      <c r="I12" s="89"/>
      <c r="J12" s="90"/>
    </row>
    <row r="13" spans="1:10" ht="50.4">
      <c r="A13" s="21" t="s">
        <v>331</v>
      </c>
      <c r="B13" s="32" t="s">
        <v>227</v>
      </c>
      <c r="C13" s="32" t="s">
        <v>218</v>
      </c>
      <c r="D13" s="22" t="s">
        <v>41</v>
      </c>
      <c r="E13" s="36" t="s">
        <v>219</v>
      </c>
      <c r="F13" s="36" t="s">
        <v>219</v>
      </c>
      <c r="G13" s="24" t="s">
        <v>34</v>
      </c>
      <c r="H13" s="67" t="s">
        <v>377</v>
      </c>
      <c r="I13" s="25" t="s">
        <v>355</v>
      </c>
      <c r="J13" s="33"/>
    </row>
    <row r="14" spans="1:10" ht="50.4">
      <c r="A14" s="21" t="s">
        <v>332</v>
      </c>
      <c r="B14" s="32" t="s">
        <v>228</v>
      </c>
      <c r="C14" s="32" t="s">
        <v>229</v>
      </c>
      <c r="D14" s="22" t="s">
        <v>41</v>
      </c>
      <c r="E14" s="36" t="s">
        <v>230</v>
      </c>
      <c r="F14" s="36" t="s">
        <v>230</v>
      </c>
      <c r="G14" s="24" t="s">
        <v>34</v>
      </c>
      <c r="H14" s="67" t="s">
        <v>377</v>
      </c>
      <c r="I14" s="25" t="s">
        <v>355</v>
      </c>
      <c r="J14" s="33"/>
    </row>
    <row r="15" spans="1:10" ht="50.4">
      <c r="A15" s="21" t="s">
        <v>333</v>
      </c>
      <c r="B15" s="32" t="s">
        <v>220</v>
      </c>
      <c r="C15" s="32" t="s">
        <v>218</v>
      </c>
      <c r="D15" s="29" t="s">
        <v>41</v>
      </c>
      <c r="E15" s="36" t="s">
        <v>221</v>
      </c>
      <c r="F15" s="36" t="s">
        <v>221</v>
      </c>
      <c r="G15" s="24" t="s">
        <v>34</v>
      </c>
      <c r="H15" s="67" t="s">
        <v>377</v>
      </c>
      <c r="I15" s="25" t="s">
        <v>355</v>
      </c>
      <c r="J15" s="33"/>
    </row>
    <row r="16" spans="1:10" ht="67.2">
      <c r="A16" s="21" t="s">
        <v>334</v>
      </c>
      <c r="B16" s="32" t="s">
        <v>222</v>
      </c>
      <c r="C16" s="32" t="s">
        <v>218</v>
      </c>
      <c r="D16" s="33" t="s">
        <v>41</v>
      </c>
      <c r="E16" s="36" t="s">
        <v>223</v>
      </c>
      <c r="F16" s="36" t="s">
        <v>223</v>
      </c>
      <c r="G16" s="24" t="s">
        <v>34</v>
      </c>
      <c r="H16" s="67" t="s">
        <v>377</v>
      </c>
      <c r="I16" s="25" t="s">
        <v>355</v>
      </c>
      <c r="J16" s="33"/>
    </row>
  </sheetData>
  <mergeCells count="13">
    <mergeCell ref="G6:I6"/>
    <mergeCell ref="J6:J8"/>
    <mergeCell ref="G7:I7"/>
    <mergeCell ref="A9:J9"/>
    <mergeCell ref="A12:J12"/>
    <mergeCell ref="B1:F1"/>
    <mergeCell ref="B2:F2"/>
    <mergeCell ref="A6:A8"/>
    <mergeCell ref="B6:B8"/>
    <mergeCell ref="C6:C8"/>
    <mergeCell ref="D6:D8"/>
    <mergeCell ref="E6:E8"/>
    <mergeCell ref="F6:F8"/>
  </mergeCells>
  <dataValidations count="1">
    <dataValidation type="list" operator="equal" allowBlank="1" showErrorMessage="1" promptTitle="dfdf" sqref="G10:G11 G13:G16">
      <formula1>"Passed,Untested,Failed,Blocked"</formula1>
      <formula2>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J19"/>
  <sheetViews>
    <sheetView zoomScale="80" zoomScaleNormal="80" workbookViewId="0">
      <selection activeCell="A4" sqref="A4:XFD4"/>
    </sheetView>
  </sheetViews>
  <sheetFormatPr defaultRowHeight="14.4"/>
  <cols>
    <col min="1" max="1" width="19.44140625" customWidth="1"/>
    <col min="2" max="2" width="32.21875" customWidth="1"/>
    <col min="3" max="3" width="33.44140625" customWidth="1"/>
    <col min="4" max="4" width="23.109375" customWidth="1"/>
    <col min="5" max="5" width="32.5546875" customWidth="1"/>
    <col min="6" max="6" width="35.6640625" customWidth="1"/>
    <col min="7" max="7" width="9.5546875" customWidth="1"/>
    <col min="8" max="8" width="16.5546875" style="42" customWidth="1"/>
  </cols>
  <sheetData>
    <row r="1" spans="1:10" ht="35.4" customHeight="1">
      <c r="A1" s="6" t="s">
        <v>13</v>
      </c>
      <c r="B1" s="79" t="s">
        <v>360</v>
      </c>
      <c r="C1" s="80"/>
      <c r="D1" s="80"/>
      <c r="E1" s="80"/>
      <c r="F1" s="81"/>
      <c r="G1" s="7"/>
      <c r="H1" s="69"/>
      <c r="I1" s="9"/>
      <c r="J1" s="9"/>
    </row>
    <row r="2" spans="1:10" ht="19.2">
      <c r="A2" s="6" t="s">
        <v>14</v>
      </c>
      <c r="B2" s="99" t="s">
        <v>361</v>
      </c>
      <c r="C2" s="100"/>
      <c r="D2" s="100"/>
      <c r="E2" s="100"/>
      <c r="F2" s="101"/>
      <c r="G2" s="7"/>
      <c r="H2" s="69"/>
      <c r="I2" s="9"/>
      <c r="J2" s="9"/>
    </row>
    <row r="3" spans="1:10" ht="16.5" customHeight="1">
      <c r="A3" s="10"/>
      <c r="B3" s="11" t="s">
        <v>15</v>
      </c>
      <c r="C3" s="11" t="s">
        <v>16</v>
      </c>
      <c r="D3" s="11" t="s">
        <v>17</v>
      </c>
      <c r="E3" s="11" t="s">
        <v>18</v>
      </c>
      <c r="F3" s="11" t="s">
        <v>19</v>
      </c>
      <c r="G3" s="7"/>
      <c r="H3" s="69"/>
      <c r="I3" s="9"/>
      <c r="J3" s="9"/>
    </row>
    <row r="4" spans="1:10" ht="16.8">
      <c r="A4" s="12" t="s">
        <v>20</v>
      </c>
      <c r="B4" s="13">
        <f>COUNTIF(G1:G50,"Passed")</f>
        <v>9</v>
      </c>
      <c r="C4" s="13">
        <f>COUNTIF(G1:G50,"Error")</f>
        <v>0</v>
      </c>
      <c r="D4" s="10">
        <f>COUNTIF(G1:G50,"Untested")</f>
        <v>0</v>
      </c>
      <c r="E4" s="14">
        <f>COUNTIF(G10:G23,"Blocked")</f>
        <v>0</v>
      </c>
      <c r="F4" s="10">
        <f>SUM(B4,C4,D4)</f>
        <v>9</v>
      </c>
      <c r="G4" s="7"/>
      <c r="H4" s="69"/>
      <c r="I4" s="9"/>
      <c r="J4" s="9"/>
    </row>
    <row r="5" spans="1:10" ht="409.5" customHeight="1">
      <c r="A5" s="15"/>
      <c r="B5" s="16"/>
      <c r="C5" s="9"/>
      <c r="D5" s="9"/>
      <c r="E5" s="17"/>
      <c r="F5" s="9"/>
      <c r="G5" s="7"/>
      <c r="H5" s="69"/>
      <c r="I5" s="9"/>
      <c r="J5" s="9"/>
    </row>
    <row r="6" spans="1:10" ht="16.8" customHeight="1">
      <c r="A6" s="85" t="s">
        <v>21</v>
      </c>
      <c r="B6" s="85" t="s">
        <v>5</v>
      </c>
      <c r="C6" s="85" t="s">
        <v>22</v>
      </c>
      <c r="D6" s="85" t="s">
        <v>23</v>
      </c>
      <c r="E6" s="85" t="s">
        <v>24</v>
      </c>
      <c r="F6" s="85" t="s">
        <v>25</v>
      </c>
      <c r="G6" s="91" t="s">
        <v>26</v>
      </c>
      <c r="H6" s="92"/>
      <c r="I6" s="93"/>
      <c r="J6" s="85" t="s">
        <v>27</v>
      </c>
    </row>
    <row r="7" spans="1:10" ht="16.8">
      <c r="A7" s="86"/>
      <c r="B7" s="86"/>
      <c r="C7" s="86"/>
      <c r="D7" s="86"/>
      <c r="E7" s="86"/>
      <c r="F7" s="86"/>
      <c r="G7" s="91" t="s">
        <v>28</v>
      </c>
      <c r="H7" s="92"/>
      <c r="I7" s="93"/>
      <c r="J7" s="86"/>
    </row>
    <row r="8" spans="1:10" ht="50.4">
      <c r="A8" s="87"/>
      <c r="B8" s="87"/>
      <c r="C8" s="87"/>
      <c r="D8" s="87"/>
      <c r="E8" s="87"/>
      <c r="F8" s="87"/>
      <c r="G8" s="18" t="s">
        <v>29</v>
      </c>
      <c r="H8" s="19" t="s">
        <v>30</v>
      </c>
      <c r="I8" s="11" t="s">
        <v>31</v>
      </c>
      <c r="J8" s="87"/>
    </row>
    <row r="9" spans="1:10" ht="16.8">
      <c r="A9" s="94" t="s">
        <v>197</v>
      </c>
      <c r="B9" s="95"/>
      <c r="C9" s="95"/>
      <c r="D9" s="95"/>
      <c r="E9" s="95"/>
      <c r="F9" s="95"/>
      <c r="G9" s="95"/>
      <c r="H9" s="95"/>
      <c r="I9" s="95"/>
      <c r="J9" s="96"/>
    </row>
    <row r="10" spans="1:10" ht="92.4" customHeight="1">
      <c r="A10" s="20" t="s">
        <v>231</v>
      </c>
      <c r="B10" s="21" t="s">
        <v>198</v>
      </c>
      <c r="C10" s="38" t="s">
        <v>122</v>
      </c>
      <c r="D10" s="38"/>
      <c r="E10" s="23" t="s">
        <v>199</v>
      </c>
      <c r="F10" s="23" t="s">
        <v>199</v>
      </c>
      <c r="G10" s="24" t="s">
        <v>34</v>
      </c>
      <c r="H10" s="67" t="s">
        <v>377</v>
      </c>
      <c r="I10" s="25" t="s">
        <v>356</v>
      </c>
      <c r="J10" s="22"/>
    </row>
    <row r="11" spans="1:10" ht="67.2">
      <c r="A11" s="20" t="s">
        <v>232</v>
      </c>
      <c r="B11" s="21" t="s">
        <v>89</v>
      </c>
      <c r="C11" s="22"/>
      <c r="D11" s="38" t="s">
        <v>116</v>
      </c>
      <c r="E11" s="23" t="s">
        <v>200</v>
      </c>
      <c r="F11" s="23" t="s">
        <v>200</v>
      </c>
      <c r="G11" s="24" t="s">
        <v>34</v>
      </c>
      <c r="H11" s="67" t="s">
        <v>377</v>
      </c>
      <c r="I11" s="25" t="s">
        <v>356</v>
      </c>
      <c r="J11" s="22"/>
    </row>
    <row r="12" spans="1:10" ht="16.8">
      <c r="A12" s="88" t="s">
        <v>201</v>
      </c>
      <c r="B12" s="89"/>
      <c r="C12" s="89"/>
      <c r="D12" s="89"/>
      <c r="E12" s="89"/>
      <c r="F12" s="89"/>
      <c r="G12" s="89"/>
      <c r="H12" s="89"/>
      <c r="I12" s="89"/>
      <c r="J12" s="90"/>
    </row>
    <row r="13" spans="1:10" ht="108.6" customHeight="1">
      <c r="A13" s="21" t="s">
        <v>233</v>
      </c>
      <c r="B13" s="21" t="s">
        <v>205</v>
      </c>
      <c r="C13" s="21" t="s">
        <v>202</v>
      </c>
      <c r="D13" s="22" t="s">
        <v>41</v>
      </c>
      <c r="E13" s="26" t="s">
        <v>203</v>
      </c>
      <c r="F13" s="26" t="s">
        <v>203</v>
      </c>
      <c r="G13" s="24" t="s">
        <v>34</v>
      </c>
      <c r="H13" s="67" t="s">
        <v>377</v>
      </c>
      <c r="I13" s="25" t="s">
        <v>356</v>
      </c>
      <c r="J13" s="22"/>
    </row>
    <row r="14" spans="1:10" ht="50.4">
      <c r="A14" s="21" t="s">
        <v>234</v>
      </c>
      <c r="B14" s="28" t="s">
        <v>206</v>
      </c>
      <c r="C14" s="21" t="s">
        <v>202</v>
      </c>
      <c r="D14" s="29" t="s">
        <v>41</v>
      </c>
      <c r="E14" s="35" t="s">
        <v>204</v>
      </c>
      <c r="F14" s="35" t="s">
        <v>204</v>
      </c>
      <c r="G14" s="24" t="s">
        <v>34</v>
      </c>
      <c r="H14" s="67" t="s">
        <v>377</v>
      </c>
      <c r="I14" s="25" t="s">
        <v>356</v>
      </c>
      <c r="J14" s="29"/>
    </row>
    <row r="15" spans="1:10" ht="33.6">
      <c r="A15" s="21" t="s">
        <v>235</v>
      </c>
      <c r="B15" s="32" t="s">
        <v>207</v>
      </c>
      <c r="C15" s="32" t="s">
        <v>208</v>
      </c>
      <c r="D15" s="33" t="s">
        <v>41</v>
      </c>
      <c r="E15" s="36" t="s">
        <v>209</v>
      </c>
      <c r="F15" s="36" t="s">
        <v>209</v>
      </c>
      <c r="G15" s="24" t="s">
        <v>34</v>
      </c>
      <c r="H15" s="67" t="s">
        <v>377</v>
      </c>
      <c r="I15" s="25" t="s">
        <v>356</v>
      </c>
      <c r="J15" s="33"/>
    </row>
    <row r="16" spans="1:10" ht="33.6">
      <c r="A16" s="21" t="s">
        <v>236</v>
      </c>
      <c r="B16" s="32" t="s">
        <v>210</v>
      </c>
      <c r="C16" s="32" t="s">
        <v>211</v>
      </c>
      <c r="D16" s="33" t="s">
        <v>41</v>
      </c>
      <c r="E16" s="36" t="s">
        <v>212</v>
      </c>
      <c r="F16" s="36" t="s">
        <v>212</v>
      </c>
      <c r="G16" s="24" t="s">
        <v>34</v>
      </c>
      <c r="H16" s="67" t="s">
        <v>377</v>
      </c>
      <c r="I16" s="25" t="s">
        <v>356</v>
      </c>
      <c r="J16" s="33"/>
    </row>
    <row r="17" spans="1:10" ht="81" customHeight="1">
      <c r="A17" s="21" t="s">
        <v>237</v>
      </c>
      <c r="B17" s="32" t="s">
        <v>213</v>
      </c>
      <c r="C17" s="32" t="s">
        <v>214</v>
      </c>
      <c r="D17" s="33" t="s">
        <v>41</v>
      </c>
      <c r="E17" s="36" t="s">
        <v>215</v>
      </c>
      <c r="F17" s="36" t="s">
        <v>215</v>
      </c>
      <c r="G17" s="24" t="s">
        <v>34</v>
      </c>
      <c r="H17" s="67" t="s">
        <v>377</v>
      </c>
      <c r="I17" s="25" t="s">
        <v>356</v>
      </c>
      <c r="J17" s="33"/>
    </row>
    <row r="18" spans="1:10" ht="67.2">
      <c r="A18" s="21" t="s">
        <v>238</v>
      </c>
      <c r="B18" s="32" t="s">
        <v>216</v>
      </c>
      <c r="C18" s="32" t="s">
        <v>217</v>
      </c>
      <c r="D18" s="22" t="s">
        <v>41</v>
      </c>
      <c r="E18" s="36" t="s">
        <v>357</v>
      </c>
      <c r="F18" s="36" t="s">
        <v>357</v>
      </c>
      <c r="G18" s="24" t="s">
        <v>34</v>
      </c>
      <c r="H18" s="67" t="s">
        <v>377</v>
      </c>
      <c r="I18" s="25" t="s">
        <v>356</v>
      </c>
      <c r="J18" s="33"/>
    </row>
    <row r="19" spans="1:10" ht="33.6">
      <c r="A19" s="21" t="s">
        <v>239</v>
      </c>
      <c r="B19" s="32" t="s">
        <v>224</v>
      </c>
      <c r="C19" s="32" t="s">
        <v>225</v>
      </c>
      <c r="D19" s="33" t="s">
        <v>41</v>
      </c>
      <c r="E19" s="36" t="s">
        <v>226</v>
      </c>
      <c r="F19" s="36" t="s">
        <v>226</v>
      </c>
      <c r="G19" s="24" t="s">
        <v>34</v>
      </c>
      <c r="H19" s="67" t="s">
        <v>377</v>
      </c>
      <c r="I19" s="25" t="s">
        <v>356</v>
      </c>
      <c r="J19" s="33"/>
    </row>
  </sheetData>
  <mergeCells count="13">
    <mergeCell ref="B1:F1"/>
    <mergeCell ref="B2:F2"/>
    <mergeCell ref="A6:A8"/>
    <mergeCell ref="B6:B8"/>
    <mergeCell ref="C6:C8"/>
    <mergeCell ref="D6:D8"/>
    <mergeCell ref="E6:E8"/>
    <mergeCell ref="F6:F8"/>
    <mergeCell ref="G6:I6"/>
    <mergeCell ref="J6:J8"/>
    <mergeCell ref="G7:I7"/>
    <mergeCell ref="A9:J9"/>
    <mergeCell ref="A12:J12"/>
  </mergeCells>
  <dataValidations count="1">
    <dataValidation type="list" operator="equal" allowBlank="1" showErrorMessage="1" promptTitle="dfdf" sqref="G10:G11 G13:G19">
      <formula1>"Passed,Untested,Failed,Blocked"</formula1>
      <formula2>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J23"/>
  <sheetViews>
    <sheetView zoomScale="80" zoomScaleNormal="80" workbookViewId="0">
      <selection activeCell="A4" sqref="A4:XFD4"/>
    </sheetView>
  </sheetViews>
  <sheetFormatPr defaultColWidth="26.5546875" defaultRowHeight="14.4"/>
  <cols>
    <col min="1" max="1" width="18.77734375" customWidth="1"/>
    <col min="7" max="7" width="18" customWidth="1"/>
    <col min="8" max="8" width="15.21875" style="64" customWidth="1"/>
    <col min="9" max="9" width="13.109375" customWidth="1"/>
    <col min="10" max="10" width="14.21875" customWidth="1"/>
  </cols>
  <sheetData>
    <row r="1" spans="1:10" ht="36" customHeight="1">
      <c r="A1" s="6" t="s">
        <v>13</v>
      </c>
      <c r="B1" s="79" t="s">
        <v>360</v>
      </c>
      <c r="C1" s="80"/>
      <c r="D1" s="80"/>
      <c r="E1" s="80"/>
      <c r="F1" s="81"/>
      <c r="G1" s="7"/>
      <c r="H1" s="62"/>
      <c r="I1" s="9"/>
      <c r="J1" s="9"/>
    </row>
    <row r="2" spans="1:10" ht="19.2">
      <c r="A2" s="6" t="s">
        <v>14</v>
      </c>
      <c r="B2" s="99" t="s">
        <v>362</v>
      </c>
      <c r="C2" s="100"/>
      <c r="D2" s="100"/>
      <c r="E2" s="100"/>
      <c r="F2" s="101"/>
      <c r="G2" s="7"/>
      <c r="H2" s="62"/>
      <c r="I2" s="9"/>
      <c r="J2" s="9"/>
    </row>
    <row r="3" spans="1:10" ht="16.5" customHeight="1">
      <c r="A3" s="10"/>
      <c r="B3" s="11" t="s">
        <v>15</v>
      </c>
      <c r="C3" s="11" t="s">
        <v>16</v>
      </c>
      <c r="D3" s="11" t="s">
        <v>17</v>
      </c>
      <c r="E3" s="11" t="s">
        <v>18</v>
      </c>
      <c r="F3" s="11" t="s">
        <v>19</v>
      </c>
      <c r="G3" s="7"/>
      <c r="H3" s="62"/>
      <c r="I3" s="9"/>
      <c r="J3" s="9"/>
    </row>
    <row r="4" spans="1:10" ht="16.8">
      <c r="A4" s="12" t="s">
        <v>20</v>
      </c>
      <c r="B4" s="13">
        <f>COUNTIF(G1:G50,"Passed")</f>
        <v>13</v>
      </c>
      <c r="C4" s="13">
        <f>COUNTIF(G1:G50,"Error")</f>
        <v>0</v>
      </c>
      <c r="D4" s="10">
        <f>COUNTIF(G1:G50,"Untested")</f>
        <v>0</v>
      </c>
      <c r="E4" s="14">
        <f>COUNTIF(G10:G23,"Blocked")</f>
        <v>0</v>
      </c>
      <c r="F4" s="10">
        <f>SUM(B4,C4,D4)</f>
        <v>13</v>
      </c>
      <c r="G4" s="7"/>
      <c r="H4" s="69"/>
      <c r="I4" s="9"/>
      <c r="J4" s="9"/>
    </row>
    <row r="5" spans="1:10" ht="409.5" customHeight="1">
      <c r="A5" s="15"/>
      <c r="B5" s="16"/>
      <c r="C5" s="9"/>
      <c r="D5" s="9"/>
      <c r="E5" s="17"/>
      <c r="F5" s="9"/>
      <c r="G5" s="7"/>
      <c r="H5" s="62"/>
      <c r="I5" s="9"/>
      <c r="J5" s="9"/>
    </row>
    <row r="6" spans="1:10" ht="16.8" customHeight="1">
      <c r="A6" s="85" t="s">
        <v>21</v>
      </c>
      <c r="B6" s="85" t="s">
        <v>5</v>
      </c>
      <c r="C6" s="85" t="s">
        <v>22</v>
      </c>
      <c r="D6" s="85" t="s">
        <v>23</v>
      </c>
      <c r="E6" s="85" t="s">
        <v>24</v>
      </c>
      <c r="F6" s="85" t="s">
        <v>25</v>
      </c>
      <c r="G6" s="91" t="s">
        <v>26</v>
      </c>
      <c r="H6" s="92"/>
      <c r="I6" s="93"/>
      <c r="J6" s="85" t="s">
        <v>27</v>
      </c>
    </row>
    <row r="7" spans="1:10" ht="16.8">
      <c r="A7" s="86"/>
      <c r="B7" s="86"/>
      <c r="C7" s="86"/>
      <c r="D7" s="86"/>
      <c r="E7" s="86"/>
      <c r="F7" s="86"/>
      <c r="G7" s="91" t="s">
        <v>28</v>
      </c>
      <c r="H7" s="92"/>
      <c r="I7" s="93"/>
      <c r="J7" s="86"/>
    </row>
    <row r="8" spans="1:10" ht="33.6">
      <c r="A8" s="87"/>
      <c r="B8" s="87"/>
      <c r="C8" s="87"/>
      <c r="D8" s="87"/>
      <c r="E8" s="87"/>
      <c r="F8" s="87"/>
      <c r="G8" s="18" t="s">
        <v>29</v>
      </c>
      <c r="H8" s="65" t="s">
        <v>30</v>
      </c>
      <c r="I8" s="11" t="s">
        <v>31</v>
      </c>
      <c r="J8" s="87"/>
    </row>
    <row r="9" spans="1:10" ht="16.8">
      <c r="A9" s="94" t="s">
        <v>244</v>
      </c>
      <c r="B9" s="95"/>
      <c r="C9" s="95"/>
      <c r="D9" s="95"/>
      <c r="E9" s="95"/>
      <c r="F9" s="95"/>
      <c r="G9" s="95"/>
      <c r="H9" s="95"/>
      <c r="I9" s="95"/>
      <c r="J9" s="96"/>
    </row>
    <row r="10" spans="1:10" ht="92.4" customHeight="1">
      <c r="A10" s="20" t="s">
        <v>231</v>
      </c>
      <c r="B10" s="21" t="s">
        <v>198</v>
      </c>
      <c r="C10" s="38"/>
      <c r="D10" s="38"/>
      <c r="E10" s="23" t="s">
        <v>199</v>
      </c>
      <c r="F10" s="23" t="s">
        <v>199</v>
      </c>
      <c r="G10" s="24" t="s">
        <v>34</v>
      </c>
      <c r="H10" s="63" t="s">
        <v>378</v>
      </c>
      <c r="I10" s="25" t="s">
        <v>354</v>
      </c>
      <c r="J10" s="22"/>
    </row>
    <row r="11" spans="1:10" ht="50.4">
      <c r="A11" s="20" t="s">
        <v>232</v>
      </c>
      <c r="B11" s="21" t="s">
        <v>247</v>
      </c>
      <c r="C11" s="22" t="s">
        <v>248</v>
      </c>
      <c r="D11" s="38" t="s">
        <v>249</v>
      </c>
      <c r="E11" s="23" t="s">
        <v>374</v>
      </c>
      <c r="F11" s="23" t="s">
        <v>374</v>
      </c>
      <c r="G11" s="24" t="s">
        <v>34</v>
      </c>
      <c r="H11" s="63" t="s">
        <v>378</v>
      </c>
      <c r="I11" s="25" t="s">
        <v>354</v>
      </c>
      <c r="J11" s="22"/>
    </row>
    <row r="12" spans="1:10" ht="16.8">
      <c r="A12" s="88" t="s">
        <v>245</v>
      </c>
      <c r="B12" s="89"/>
      <c r="C12" s="89"/>
      <c r="D12" s="89"/>
      <c r="E12" s="89"/>
      <c r="F12" s="89"/>
      <c r="G12" s="89"/>
      <c r="H12" s="89"/>
      <c r="I12" s="89"/>
      <c r="J12" s="90"/>
    </row>
    <row r="13" spans="1:10" ht="154.19999999999999" customHeight="1">
      <c r="A13" s="21" t="s">
        <v>233</v>
      </c>
      <c r="B13" s="21" t="s">
        <v>246</v>
      </c>
      <c r="C13" s="21" t="s">
        <v>375</v>
      </c>
      <c r="D13" s="22" t="s">
        <v>41</v>
      </c>
      <c r="E13" s="26" t="s">
        <v>286</v>
      </c>
      <c r="F13" s="26" t="s">
        <v>286</v>
      </c>
      <c r="G13" s="24" t="s">
        <v>34</v>
      </c>
      <c r="H13" s="63" t="s">
        <v>378</v>
      </c>
      <c r="I13" s="25" t="s">
        <v>354</v>
      </c>
      <c r="J13" s="22"/>
    </row>
    <row r="14" spans="1:10" ht="50.4">
      <c r="A14" s="21" t="s">
        <v>235</v>
      </c>
      <c r="B14" s="32" t="s">
        <v>252</v>
      </c>
      <c r="C14" s="32" t="s">
        <v>250</v>
      </c>
      <c r="D14" s="33" t="s">
        <v>41</v>
      </c>
      <c r="E14" s="36" t="s">
        <v>251</v>
      </c>
      <c r="F14" s="36" t="s">
        <v>251</v>
      </c>
      <c r="G14" s="24" t="s">
        <v>34</v>
      </c>
      <c r="H14" s="63" t="s">
        <v>378</v>
      </c>
      <c r="I14" s="25" t="s">
        <v>354</v>
      </c>
      <c r="J14" s="33"/>
    </row>
    <row r="15" spans="1:10" ht="33.6">
      <c r="A15" s="21" t="s">
        <v>236</v>
      </c>
      <c r="B15" s="32" t="s">
        <v>253</v>
      </c>
      <c r="C15" s="32" t="s">
        <v>254</v>
      </c>
      <c r="D15" s="33" t="s">
        <v>41</v>
      </c>
      <c r="E15" s="36" t="s">
        <v>255</v>
      </c>
      <c r="F15" s="36" t="s">
        <v>255</v>
      </c>
      <c r="G15" s="24" t="s">
        <v>34</v>
      </c>
      <c r="H15" s="63" t="s">
        <v>378</v>
      </c>
      <c r="I15" s="25" t="s">
        <v>354</v>
      </c>
      <c r="J15" s="33"/>
    </row>
    <row r="16" spans="1:10" ht="81" customHeight="1">
      <c r="A16" s="21" t="s">
        <v>237</v>
      </c>
      <c r="B16" s="32" t="s">
        <v>256</v>
      </c>
      <c r="C16" s="32" t="s">
        <v>257</v>
      </c>
      <c r="D16" s="33" t="s">
        <v>41</v>
      </c>
      <c r="E16" s="36" t="s">
        <v>258</v>
      </c>
      <c r="F16" s="36" t="s">
        <v>258</v>
      </c>
      <c r="G16" s="24" t="s">
        <v>34</v>
      </c>
      <c r="H16" s="63" t="s">
        <v>378</v>
      </c>
      <c r="I16" s="25" t="s">
        <v>354</v>
      </c>
      <c r="J16" s="33"/>
    </row>
    <row r="17" spans="1:10" ht="81" customHeight="1">
      <c r="A17" s="21" t="s">
        <v>238</v>
      </c>
      <c r="B17" s="32" t="s">
        <v>263</v>
      </c>
      <c r="C17" s="32" t="s">
        <v>260</v>
      </c>
      <c r="D17" s="33" t="s">
        <v>41</v>
      </c>
      <c r="E17" s="36" t="s">
        <v>261</v>
      </c>
      <c r="F17" s="36" t="s">
        <v>261</v>
      </c>
      <c r="G17" s="24" t="s">
        <v>34</v>
      </c>
      <c r="H17" s="63" t="s">
        <v>259</v>
      </c>
      <c r="I17" s="25" t="s">
        <v>354</v>
      </c>
      <c r="J17" s="33"/>
    </row>
    <row r="18" spans="1:10" ht="33.6">
      <c r="A18" s="21" t="s">
        <v>239</v>
      </c>
      <c r="B18" s="32" t="s">
        <v>262</v>
      </c>
      <c r="C18" s="32" t="s">
        <v>264</v>
      </c>
      <c r="D18" s="22" t="s">
        <v>41</v>
      </c>
      <c r="E18" s="36" t="s">
        <v>265</v>
      </c>
      <c r="F18" s="36" t="s">
        <v>265</v>
      </c>
      <c r="G18" s="24" t="s">
        <v>34</v>
      </c>
      <c r="H18" s="63" t="s">
        <v>378</v>
      </c>
      <c r="I18" s="25" t="s">
        <v>354</v>
      </c>
      <c r="J18" s="33"/>
    </row>
    <row r="19" spans="1:10" ht="67.2">
      <c r="A19" s="21" t="s">
        <v>240</v>
      </c>
      <c r="B19" s="32" t="s">
        <v>266</v>
      </c>
      <c r="C19" s="32"/>
      <c r="D19" s="22" t="s">
        <v>41</v>
      </c>
      <c r="E19" s="36" t="s">
        <v>267</v>
      </c>
      <c r="F19" s="36" t="s">
        <v>267</v>
      </c>
      <c r="G19" s="24" t="s">
        <v>34</v>
      </c>
      <c r="H19" s="63" t="s">
        <v>378</v>
      </c>
      <c r="I19" s="25" t="s">
        <v>354</v>
      </c>
      <c r="J19" s="33"/>
    </row>
    <row r="20" spans="1:10" ht="67.2">
      <c r="A20" s="21" t="s">
        <v>241</v>
      </c>
      <c r="B20" s="32" t="s">
        <v>268</v>
      </c>
      <c r="C20" s="32" t="s">
        <v>269</v>
      </c>
      <c r="D20" s="29" t="s">
        <v>41</v>
      </c>
      <c r="E20" s="36" t="s">
        <v>270</v>
      </c>
      <c r="F20" s="36" t="s">
        <v>270</v>
      </c>
      <c r="G20" s="24" t="s">
        <v>34</v>
      </c>
      <c r="H20" s="63" t="s">
        <v>378</v>
      </c>
      <c r="I20" s="25" t="s">
        <v>354</v>
      </c>
      <c r="J20" s="33"/>
    </row>
    <row r="21" spans="1:10" ht="50.4">
      <c r="A21" s="21" t="s">
        <v>242</v>
      </c>
      <c r="B21" s="32" t="s">
        <v>271</v>
      </c>
      <c r="C21" s="32" t="s">
        <v>272</v>
      </c>
      <c r="D21" s="33" t="s">
        <v>41</v>
      </c>
      <c r="E21" s="36" t="s">
        <v>273</v>
      </c>
      <c r="F21" s="36" t="s">
        <v>273</v>
      </c>
      <c r="G21" s="24" t="s">
        <v>34</v>
      </c>
      <c r="H21" s="63" t="s">
        <v>378</v>
      </c>
      <c r="I21" s="25" t="s">
        <v>354</v>
      </c>
      <c r="J21" s="33"/>
    </row>
    <row r="22" spans="1:10" ht="49.2" customHeight="1">
      <c r="A22" s="21" t="s">
        <v>243</v>
      </c>
      <c r="B22" s="32" t="s">
        <v>274</v>
      </c>
      <c r="C22" s="32" t="s">
        <v>275</v>
      </c>
      <c r="D22" s="33" t="s">
        <v>41</v>
      </c>
      <c r="E22" s="36" t="s">
        <v>276</v>
      </c>
      <c r="F22" s="36" t="s">
        <v>276</v>
      </c>
      <c r="G22" s="24" t="s">
        <v>34</v>
      </c>
      <c r="H22" s="63" t="s">
        <v>378</v>
      </c>
      <c r="I22" s="25" t="s">
        <v>354</v>
      </c>
      <c r="J22" s="33"/>
    </row>
    <row r="23" spans="1:10" ht="49.2" customHeight="1">
      <c r="A23" s="21" t="s">
        <v>277</v>
      </c>
      <c r="B23" s="32" t="s">
        <v>363</v>
      </c>
      <c r="C23" s="32" t="s">
        <v>110</v>
      </c>
      <c r="D23" s="33" t="s">
        <v>41</v>
      </c>
      <c r="E23" s="36" t="s">
        <v>278</v>
      </c>
      <c r="F23" s="36" t="s">
        <v>278</v>
      </c>
      <c r="G23" s="24" t="s">
        <v>34</v>
      </c>
      <c r="H23" s="63" t="s">
        <v>379</v>
      </c>
      <c r="I23" s="25" t="s">
        <v>354</v>
      </c>
      <c r="J23" s="33"/>
    </row>
  </sheetData>
  <mergeCells count="13">
    <mergeCell ref="B1:F1"/>
    <mergeCell ref="B2:F2"/>
    <mergeCell ref="A6:A8"/>
    <mergeCell ref="B6:B8"/>
    <mergeCell ref="C6:C8"/>
    <mergeCell ref="D6:D8"/>
    <mergeCell ref="E6:E8"/>
    <mergeCell ref="F6:F8"/>
    <mergeCell ref="G6:I6"/>
    <mergeCell ref="J6:J8"/>
    <mergeCell ref="G7:I7"/>
    <mergeCell ref="A9:J9"/>
    <mergeCell ref="A12:J12"/>
  </mergeCells>
  <dataValidations count="1">
    <dataValidation type="list" operator="equal" allowBlank="1" showErrorMessage="1" promptTitle="dfdf" sqref="G10:G11 G13:G23">
      <formula1>"Passed,Untested,Failed,Blocked"</formula1>
      <formula2>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J33"/>
  <sheetViews>
    <sheetView tabSelected="1" topLeftCell="A28" zoomScale="80" zoomScaleNormal="80" workbookViewId="0">
      <selection activeCell="H31" sqref="H31"/>
    </sheetView>
  </sheetViews>
  <sheetFormatPr defaultRowHeight="14.4"/>
  <cols>
    <col min="1" max="1" width="20.6640625" customWidth="1"/>
    <col min="2" max="2" width="29.44140625" customWidth="1"/>
    <col min="3" max="3" width="27.109375" customWidth="1"/>
    <col min="4" max="4" width="19.21875" customWidth="1"/>
    <col min="5" max="5" width="29.21875" customWidth="1"/>
    <col min="6" max="6" width="28.44140625" customWidth="1"/>
    <col min="7" max="7" width="10.88671875" customWidth="1"/>
    <col min="8" max="8" width="14.109375" customWidth="1"/>
    <col min="9" max="9" width="6.21875" customWidth="1"/>
    <col min="10" max="10" width="5.33203125" customWidth="1"/>
  </cols>
  <sheetData>
    <row r="1" spans="1:10" ht="36" customHeight="1">
      <c r="A1" s="6" t="s">
        <v>13</v>
      </c>
      <c r="B1" s="79" t="s">
        <v>360</v>
      </c>
      <c r="C1" s="80"/>
      <c r="D1" s="80"/>
      <c r="E1" s="80"/>
      <c r="F1" s="81"/>
      <c r="G1" s="7"/>
      <c r="H1" s="8"/>
      <c r="I1" s="9"/>
      <c r="J1" s="9"/>
    </row>
    <row r="2" spans="1:10" ht="19.2">
      <c r="A2" s="6" t="s">
        <v>14</v>
      </c>
      <c r="B2" s="99" t="s">
        <v>279</v>
      </c>
      <c r="C2" s="100"/>
      <c r="D2" s="100"/>
      <c r="E2" s="100"/>
      <c r="F2" s="101"/>
      <c r="G2" s="7"/>
      <c r="H2" s="8"/>
      <c r="I2" s="9"/>
      <c r="J2" s="9"/>
    </row>
    <row r="3" spans="1:10" ht="16.5" customHeight="1">
      <c r="A3" s="10"/>
      <c r="B3" s="11" t="s">
        <v>15</v>
      </c>
      <c r="C3" s="11" t="s">
        <v>16</v>
      </c>
      <c r="D3" s="11" t="s">
        <v>17</v>
      </c>
      <c r="E3" s="11" t="s">
        <v>18</v>
      </c>
      <c r="F3" s="11" t="s">
        <v>19</v>
      </c>
      <c r="G3" s="7"/>
      <c r="H3" s="8"/>
      <c r="I3" s="9"/>
      <c r="J3" s="9"/>
    </row>
    <row r="4" spans="1:10" ht="16.8">
      <c r="A4" s="12" t="s">
        <v>20</v>
      </c>
      <c r="B4" s="13">
        <f>COUNTIF(G1:G50,"Passed")</f>
        <v>22</v>
      </c>
      <c r="C4" s="13">
        <f>COUNTIF(G1:G50,"Error")</f>
        <v>0</v>
      </c>
      <c r="D4" s="10">
        <f>COUNTIF(G1:G50,"Untested")</f>
        <v>0</v>
      </c>
      <c r="E4" s="14">
        <f>COUNTIF(G10:G23,"Blocked")</f>
        <v>0</v>
      </c>
      <c r="F4" s="10">
        <f>SUM(B4,C4,D4)</f>
        <v>22</v>
      </c>
      <c r="G4" s="7"/>
      <c r="H4" s="69"/>
      <c r="I4" s="9"/>
      <c r="J4" s="9"/>
    </row>
    <row r="5" spans="1:10" s="52" customFormat="1" ht="18" customHeight="1">
      <c r="A5" s="53"/>
      <c r="B5" s="54"/>
      <c r="C5" s="54"/>
      <c r="D5" s="55"/>
      <c r="E5" s="56"/>
      <c r="F5" s="55"/>
      <c r="G5" s="50"/>
      <c r="H5" s="51"/>
      <c r="I5" s="51"/>
      <c r="J5" s="51"/>
    </row>
    <row r="6" spans="1:10" ht="283.2" customHeight="1">
      <c r="A6" s="15"/>
      <c r="B6" s="16"/>
      <c r="C6" s="9"/>
      <c r="D6" s="9"/>
      <c r="E6" s="17"/>
      <c r="F6" s="9"/>
      <c r="G6" s="7"/>
      <c r="H6" s="8"/>
      <c r="I6" s="9"/>
      <c r="J6" s="9"/>
    </row>
    <row r="7" spans="1:10" ht="16.8" customHeight="1">
      <c r="A7" s="85" t="s">
        <v>21</v>
      </c>
      <c r="B7" s="85" t="s">
        <v>5</v>
      </c>
      <c r="C7" s="85" t="s">
        <v>22</v>
      </c>
      <c r="D7" s="85" t="s">
        <v>23</v>
      </c>
      <c r="E7" s="85" t="s">
        <v>24</v>
      </c>
      <c r="F7" s="85" t="s">
        <v>25</v>
      </c>
      <c r="G7" s="91" t="s">
        <v>26</v>
      </c>
      <c r="H7" s="92"/>
      <c r="I7" s="93"/>
      <c r="J7" s="85" t="s">
        <v>27</v>
      </c>
    </row>
    <row r="8" spans="1:10" ht="16.8">
      <c r="A8" s="86"/>
      <c r="B8" s="86"/>
      <c r="C8" s="86"/>
      <c r="D8" s="86"/>
      <c r="E8" s="86"/>
      <c r="F8" s="86"/>
      <c r="G8" s="91" t="s">
        <v>28</v>
      </c>
      <c r="H8" s="92"/>
      <c r="I8" s="93"/>
      <c r="J8" s="86"/>
    </row>
    <row r="9" spans="1:10" ht="67.2">
      <c r="A9" s="87"/>
      <c r="B9" s="87"/>
      <c r="C9" s="87"/>
      <c r="D9" s="87"/>
      <c r="E9" s="87"/>
      <c r="F9" s="87"/>
      <c r="G9" s="18" t="s">
        <v>29</v>
      </c>
      <c r="H9" s="19" t="s">
        <v>30</v>
      </c>
      <c r="I9" s="11" t="s">
        <v>31</v>
      </c>
      <c r="J9" s="87"/>
    </row>
    <row r="10" spans="1:10" ht="16.8">
      <c r="A10" s="94" t="s">
        <v>280</v>
      </c>
      <c r="B10" s="95"/>
      <c r="C10" s="95"/>
      <c r="D10" s="95"/>
      <c r="E10" s="95"/>
      <c r="F10" s="95"/>
      <c r="G10" s="95"/>
      <c r="H10" s="95"/>
      <c r="I10" s="95"/>
      <c r="J10" s="96"/>
    </row>
    <row r="11" spans="1:10" ht="61.2" customHeight="1">
      <c r="A11" s="20" t="s">
        <v>231</v>
      </c>
      <c r="B11" s="21" t="s">
        <v>198</v>
      </c>
      <c r="C11" s="38"/>
      <c r="D11" s="38"/>
      <c r="E11" s="23" t="s">
        <v>287</v>
      </c>
      <c r="F11" s="23" t="s">
        <v>287</v>
      </c>
      <c r="G11" s="24" t="s">
        <v>34</v>
      </c>
      <c r="H11" s="37" t="s">
        <v>378</v>
      </c>
      <c r="I11" s="25" t="s">
        <v>62</v>
      </c>
      <c r="J11" s="22"/>
    </row>
    <row r="12" spans="1:10" ht="50.4">
      <c r="A12" s="20" t="s">
        <v>232</v>
      </c>
      <c r="B12" s="21" t="s">
        <v>247</v>
      </c>
      <c r="C12" s="22" t="s">
        <v>248</v>
      </c>
      <c r="D12" s="38" t="s">
        <v>284</v>
      </c>
      <c r="E12" s="23" t="s">
        <v>285</v>
      </c>
      <c r="F12" s="23" t="s">
        <v>285</v>
      </c>
      <c r="G12" s="24" t="s">
        <v>34</v>
      </c>
      <c r="H12" s="37" t="s">
        <v>378</v>
      </c>
      <c r="I12" s="25" t="s">
        <v>62</v>
      </c>
      <c r="J12" s="22"/>
    </row>
    <row r="13" spans="1:10" ht="33.6">
      <c r="A13" s="20" t="s">
        <v>232</v>
      </c>
      <c r="B13" s="21" t="s">
        <v>282</v>
      </c>
      <c r="C13" s="22"/>
      <c r="D13" s="38" t="s">
        <v>284</v>
      </c>
      <c r="E13" s="23" t="s">
        <v>283</v>
      </c>
      <c r="F13" s="23" t="s">
        <v>283</v>
      </c>
      <c r="G13" s="24" t="s">
        <v>34</v>
      </c>
      <c r="H13" s="37" t="s">
        <v>378</v>
      </c>
      <c r="I13" s="25" t="s">
        <v>62</v>
      </c>
      <c r="J13" s="22"/>
    </row>
    <row r="14" spans="1:10" ht="16.8">
      <c r="A14" s="88" t="s">
        <v>281</v>
      </c>
      <c r="B14" s="89"/>
      <c r="C14" s="89"/>
      <c r="D14" s="89"/>
      <c r="E14" s="89"/>
      <c r="F14" s="89"/>
      <c r="G14" s="89"/>
      <c r="H14" s="89"/>
      <c r="I14" s="89"/>
      <c r="J14" s="90"/>
    </row>
    <row r="15" spans="1:10" ht="142.80000000000001" customHeight="1">
      <c r="A15" s="21" t="s">
        <v>335</v>
      </c>
      <c r="B15" s="21" t="s">
        <v>288</v>
      </c>
      <c r="C15" s="21" t="s">
        <v>372</v>
      </c>
      <c r="D15" s="22" t="s">
        <v>41</v>
      </c>
      <c r="E15" s="26" t="s">
        <v>289</v>
      </c>
      <c r="F15" s="26" t="s">
        <v>289</v>
      </c>
      <c r="G15" s="24" t="s">
        <v>34</v>
      </c>
      <c r="H15" s="37" t="s">
        <v>378</v>
      </c>
      <c r="I15" s="25" t="s">
        <v>62</v>
      </c>
      <c r="J15" s="22"/>
    </row>
    <row r="16" spans="1:10" ht="50.4">
      <c r="A16" s="21" t="s">
        <v>336</v>
      </c>
      <c r="B16" s="32" t="s">
        <v>290</v>
      </c>
      <c r="C16" s="32" t="s">
        <v>250</v>
      </c>
      <c r="D16" s="33" t="s">
        <v>41</v>
      </c>
      <c r="E16" s="36" t="s">
        <v>251</v>
      </c>
      <c r="F16" s="36" t="s">
        <v>251</v>
      </c>
      <c r="G16" s="24" t="s">
        <v>34</v>
      </c>
      <c r="H16" s="37" t="s">
        <v>378</v>
      </c>
      <c r="I16" s="25" t="s">
        <v>62</v>
      </c>
      <c r="J16" s="33"/>
    </row>
    <row r="17" spans="1:10" ht="50.4">
      <c r="A17" s="21" t="s">
        <v>337</v>
      </c>
      <c r="B17" s="32" t="s">
        <v>291</v>
      </c>
      <c r="C17" s="32" t="s">
        <v>292</v>
      </c>
      <c r="D17" s="33" t="s">
        <v>41</v>
      </c>
      <c r="E17" s="36" t="s">
        <v>293</v>
      </c>
      <c r="F17" s="36" t="s">
        <v>293</v>
      </c>
      <c r="G17" s="24" t="s">
        <v>34</v>
      </c>
      <c r="H17" s="37" t="s">
        <v>378</v>
      </c>
      <c r="I17" s="25" t="s">
        <v>62</v>
      </c>
      <c r="J17" s="33"/>
    </row>
    <row r="18" spans="1:10" ht="81" customHeight="1">
      <c r="A18" s="21" t="s">
        <v>338</v>
      </c>
      <c r="B18" s="32" t="s">
        <v>294</v>
      </c>
      <c r="C18" s="32" t="s">
        <v>292</v>
      </c>
      <c r="D18" s="33" t="s">
        <v>41</v>
      </c>
      <c r="E18" s="36" t="s">
        <v>295</v>
      </c>
      <c r="F18" s="36" t="s">
        <v>295</v>
      </c>
      <c r="G18" s="24" t="s">
        <v>34</v>
      </c>
      <c r="H18" s="37" t="s">
        <v>378</v>
      </c>
      <c r="I18" s="25" t="s">
        <v>62</v>
      </c>
      <c r="J18" s="33"/>
    </row>
    <row r="19" spans="1:10" ht="67.2">
      <c r="A19" s="21" t="s">
        <v>339</v>
      </c>
      <c r="B19" s="32" t="s">
        <v>296</v>
      </c>
      <c r="C19" s="32" t="s">
        <v>373</v>
      </c>
      <c r="D19" s="22" t="s">
        <v>41</v>
      </c>
      <c r="E19" s="36" t="s">
        <v>297</v>
      </c>
      <c r="F19" s="36" t="s">
        <v>297</v>
      </c>
      <c r="G19" s="24" t="s">
        <v>34</v>
      </c>
      <c r="H19" s="37" t="s">
        <v>378</v>
      </c>
      <c r="I19" s="25" t="s">
        <v>62</v>
      </c>
      <c r="J19" s="33"/>
    </row>
    <row r="20" spans="1:10" ht="100.8">
      <c r="A20" s="21" t="s">
        <v>340</v>
      </c>
      <c r="B20" s="32" t="s">
        <v>298</v>
      </c>
      <c r="C20" s="32"/>
      <c r="D20" s="22" t="s">
        <v>41</v>
      </c>
      <c r="E20" s="36" t="s">
        <v>299</v>
      </c>
      <c r="F20" s="36" t="s">
        <v>299</v>
      </c>
      <c r="G20" s="24" t="s">
        <v>34</v>
      </c>
      <c r="H20" s="37" t="s">
        <v>378</v>
      </c>
      <c r="I20" s="25" t="s">
        <v>62</v>
      </c>
      <c r="J20" s="33"/>
    </row>
    <row r="21" spans="1:10" ht="67.2">
      <c r="A21" s="21" t="s">
        <v>341</v>
      </c>
      <c r="B21" s="32" t="s">
        <v>268</v>
      </c>
      <c r="C21" s="32" t="s">
        <v>269</v>
      </c>
      <c r="D21" s="29" t="s">
        <v>41</v>
      </c>
      <c r="E21" s="36" t="s">
        <v>270</v>
      </c>
      <c r="F21" s="36" t="s">
        <v>270</v>
      </c>
      <c r="G21" s="24" t="s">
        <v>34</v>
      </c>
      <c r="H21" s="37" t="s">
        <v>378</v>
      </c>
      <c r="I21" s="25" t="s">
        <v>62</v>
      </c>
      <c r="J21" s="33"/>
    </row>
    <row r="22" spans="1:10" ht="66" customHeight="1">
      <c r="A22" s="21" t="s">
        <v>342</v>
      </c>
      <c r="B22" s="32" t="s">
        <v>300</v>
      </c>
      <c r="C22" s="32" t="s">
        <v>364</v>
      </c>
      <c r="D22" s="33" t="s">
        <v>41</v>
      </c>
      <c r="E22" s="36" t="s">
        <v>301</v>
      </c>
      <c r="F22" s="36" t="s">
        <v>301</v>
      </c>
      <c r="G22" s="24" t="s">
        <v>34</v>
      </c>
      <c r="H22" s="37" t="s">
        <v>378</v>
      </c>
      <c r="I22" s="25" t="s">
        <v>62</v>
      </c>
      <c r="J22" s="33"/>
    </row>
    <row r="23" spans="1:10" ht="68.400000000000006" customHeight="1">
      <c r="A23" s="21" t="s">
        <v>343</v>
      </c>
      <c r="B23" s="32" t="s">
        <v>302</v>
      </c>
      <c r="C23" s="32" t="s">
        <v>365</v>
      </c>
      <c r="D23" s="33" t="s">
        <v>41</v>
      </c>
      <c r="E23" s="36" t="s">
        <v>303</v>
      </c>
      <c r="F23" s="36" t="s">
        <v>303</v>
      </c>
      <c r="G23" s="24" t="s">
        <v>34</v>
      </c>
      <c r="H23" s="37" t="s">
        <v>378</v>
      </c>
      <c r="I23" s="25" t="s">
        <v>62</v>
      </c>
      <c r="J23" s="33"/>
    </row>
    <row r="24" spans="1:10" ht="106.8" customHeight="1">
      <c r="A24" s="21" t="s">
        <v>344</v>
      </c>
      <c r="B24" s="32" t="s">
        <v>304</v>
      </c>
      <c r="C24" s="32" t="s">
        <v>366</v>
      </c>
      <c r="D24" s="33" t="s">
        <v>41</v>
      </c>
      <c r="E24" s="36" t="s">
        <v>305</v>
      </c>
      <c r="F24" s="36" t="s">
        <v>305</v>
      </c>
      <c r="G24" s="24" t="s">
        <v>34</v>
      </c>
      <c r="H24" s="37" t="s">
        <v>378</v>
      </c>
      <c r="I24" s="25" t="s">
        <v>62</v>
      </c>
      <c r="J24" s="33"/>
    </row>
    <row r="25" spans="1:10" ht="93" customHeight="1">
      <c r="A25" s="21" t="s">
        <v>345</v>
      </c>
      <c r="B25" s="32" t="s">
        <v>306</v>
      </c>
      <c r="C25" s="32" t="s">
        <v>367</v>
      </c>
      <c r="D25" s="33" t="s">
        <v>41</v>
      </c>
      <c r="E25" s="36" t="s">
        <v>301</v>
      </c>
      <c r="F25" s="36" t="s">
        <v>301</v>
      </c>
      <c r="G25" s="24" t="s">
        <v>34</v>
      </c>
      <c r="H25" s="37" t="s">
        <v>378</v>
      </c>
      <c r="I25" s="25" t="s">
        <v>62</v>
      </c>
      <c r="J25" s="33"/>
    </row>
    <row r="26" spans="1:10" ht="92.4" customHeight="1">
      <c r="A26" s="21" t="s">
        <v>346</v>
      </c>
      <c r="B26" s="32" t="s">
        <v>307</v>
      </c>
      <c r="C26" s="32" t="s">
        <v>368</v>
      </c>
      <c r="D26" s="33" t="s">
        <v>41</v>
      </c>
      <c r="E26" s="36" t="s">
        <v>308</v>
      </c>
      <c r="F26" s="36" t="s">
        <v>308</v>
      </c>
      <c r="G26" s="24" t="s">
        <v>34</v>
      </c>
      <c r="H26" s="37" t="s">
        <v>378</v>
      </c>
      <c r="I26" s="25" t="s">
        <v>62</v>
      </c>
      <c r="J26" s="33"/>
    </row>
    <row r="27" spans="1:10" ht="92.4" customHeight="1">
      <c r="A27" s="21" t="s">
        <v>347</v>
      </c>
      <c r="B27" s="32" t="s">
        <v>309</v>
      </c>
      <c r="C27" s="32" t="s">
        <v>369</v>
      </c>
      <c r="D27" s="33" t="s">
        <v>41</v>
      </c>
      <c r="E27" s="36" t="s">
        <v>310</v>
      </c>
      <c r="F27" s="36" t="s">
        <v>310</v>
      </c>
      <c r="G27" s="24" t="s">
        <v>34</v>
      </c>
      <c r="H27" s="37" t="s">
        <v>378</v>
      </c>
      <c r="I27" s="25" t="s">
        <v>62</v>
      </c>
      <c r="J27" s="33"/>
    </row>
    <row r="28" spans="1:10" ht="92.4" customHeight="1">
      <c r="A28" s="21" t="s">
        <v>348</v>
      </c>
      <c r="B28" s="32" t="s">
        <v>311</v>
      </c>
      <c r="C28" s="32" t="s">
        <v>370</v>
      </c>
      <c r="D28" s="33" t="s">
        <v>41</v>
      </c>
      <c r="E28" s="36" t="s">
        <v>312</v>
      </c>
      <c r="F28" s="36" t="s">
        <v>312</v>
      </c>
      <c r="G28" s="24" t="s">
        <v>34</v>
      </c>
      <c r="H28" s="37" t="s">
        <v>378</v>
      </c>
      <c r="I28" s="25" t="s">
        <v>62</v>
      </c>
      <c r="J28" s="33"/>
    </row>
    <row r="29" spans="1:10" ht="92.4" customHeight="1">
      <c r="A29" s="21" t="s">
        <v>349</v>
      </c>
      <c r="B29" s="32" t="s">
        <v>313</v>
      </c>
      <c r="C29" s="32" t="s">
        <v>371</v>
      </c>
      <c r="D29" s="33" t="s">
        <v>41</v>
      </c>
      <c r="E29" s="36" t="s">
        <v>314</v>
      </c>
      <c r="F29" s="36" t="s">
        <v>314</v>
      </c>
      <c r="G29" s="24" t="s">
        <v>34</v>
      </c>
      <c r="H29" s="37" t="s">
        <v>378</v>
      </c>
      <c r="I29" s="25" t="s">
        <v>62</v>
      </c>
      <c r="J29" s="33"/>
    </row>
    <row r="30" spans="1:10" ht="92.4" customHeight="1">
      <c r="A30" s="21" t="s">
        <v>350</v>
      </c>
      <c r="B30" s="32" t="s">
        <v>315</v>
      </c>
      <c r="C30" s="32" t="s">
        <v>316</v>
      </c>
      <c r="D30" s="33" t="s">
        <v>41</v>
      </c>
      <c r="E30" s="36" t="s">
        <v>317</v>
      </c>
      <c r="F30" s="36" t="s">
        <v>317</v>
      </c>
      <c r="G30" s="24" t="s">
        <v>34</v>
      </c>
      <c r="H30" s="37" t="s">
        <v>378</v>
      </c>
      <c r="I30" s="25" t="s">
        <v>62</v>
      </c>
      <c r="J30" s="33"/>
    </row>
    <row r="31" spans="1:10" ht="92.4" customHeight="1">
      <c r="A31" s="21" t="s">
        <v>351</v>
      </c>
      <c r="B31" s="32" t="s">
        <v>318</v>
      </c>
      <c r="C31" s="32" t="s">
        <v>316</v>
      </c>
      <c r="D31" s="33" t="s">
        <v>41</v>
      </c>
      <c r="E31" s="36" t="s">
        <v>319</v>
      </c>
      <c r="F31" s="36" t="s">
        <v>319</v>
      </c>
      <c r="G31" s="24" t="s">
        <v>34</v>
      </c>
      <c r="H31" s="37" t="s">
        <v>378</v>
      </c>
      <c r="I31" s="25" t="s">
        <v>62</v>
      </c>
      <c r="J31" s="33"/>
    </row>
    <row r="32" spans="1:10" ht="49.2" customHeight="1">
      <c r="A32" s="21" t="s">
        <v>352</v>
      </c>
      <c r="B32" s="32" t="s">
        <v>274</v>
      </c>
      <c r="C32" s="32" t="s">
        <v>275</v>
      </c>
      <c r="D32" s="33" t="s">
        <v>41</v>
      </c>
      <c r="E32" s="36" t="s">
        <v>320</v>
      </c>
      <c r="F32" s="36" t="s">
        <v>320</v>
      </c>
      <c r="G32" s="24" t="s">
        <v>34</v>
      </c>
      <c r="H32" s="37" t="s">
        <v>378</v>
      </c>
      <c r="I32" s="25" t="s">
        <v>62</v>
      </c>
      <c r="J32" s="33"/>
    </row>
    <row r="33" spans="1:10" ht="49.2" customHeight="1">
      <c r="A33" s="21" t="s">
        <v>353</v>
      </c>
      <c r="B33" s="32" t="s">
        <v>321</v>
      </c>
      <c r="C33" s="32" t="s">
        <v>110</v>
      </c>
      <c r="D33" s="33" t="s">
        <v>41</v>
      </c>
      <c r="E33" s="36" t="s">
        <v>322</v>
      </c>
      <c r="F33" s="36" t="s">
        <v>322</v>
      </c>
      <c r="G33" s="24" t="s">
        <v>34</v>
      </c>
      <c r="H33" s="37" t="s">
        <v>378</v>
      </c>
      <c r="I33" s="25" t="s">
        <v>62</v>
      </c>
      <c r="J33" s="33"/>
    </row>
  </sheetData>
  <mergeCells count="13">
    <mergeCell ref="B1:F1"/>
    <mergeCell ref="B2:F2"/>
    <mergeCell ref="A7:A9"/>
    <mergeCell ref="B7:B9"/>
    <mergeCell ref="C7:C9"/>
    <mergeCell ref="D7:D9"/>
    <mergeCell ref="E7:E9"/>
    <mergeCell ref="F7:F9"/>
    <mergeCell ref="G7:I7"/>
    <mergeCell ref="J7:J9"/>
    <mergeCell ref="G8:I8"/>
    <mergeCell ref="A10:J10"/>
    <mergeCell ref="A14:J14"/>
  </mergeCells>
  <dataValidations count="1">
    <dataValidation type="list" operator="equal" allowBlank="1" showErrorMessage="1" promptTitle="dfdf" sqref="G11:G13 G15:G33">
      <formula1>"Passed,Untested,Failed,Blocked"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Trường hợp kiểm thử</vt:lpstr>
      <vt:lpstr>Đăng nhập</vt:lpstr>
      <vt:lpstr>Đăng kí</vt:lpstr>
      <vt:lpstr>Quản lí hồ sơ cá nhân</vt:lpstr>
      <vt:lpstr>Điểm danh</vt:lpstr>
      <vt:lpstr>Quản lí lớp học </vt:lpstr>
      <vt:lpstr>Quản lý sinh viên</vt:lpstr>
      <vt:lpstr>Quản lí bài tập và kết quả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2025-11-30T05:35:33Z</dcterms:created>
  <dcterms:modified xsi:type="dcterms:W3CDTF">2025-12-16T00:52:09Z</dcterms:modified>
</cp:coreProperties>
</file>